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eb\OneDrive\Documenten\Internship\PelletReaching_DataAnalysis\AnalysedData\"/>
    </mc:Choice>
  </mc:AlternateContent>
  <xr:revisionPtr revIDLastSave="0" documentId="8_{998A6A59-12DE-4D29-A207-30BA0219AED9}" xr6:coauthVersionLast="47" xr6:coauthVersionMax="47" xr10:uidLastSave="{00000000-0000-0000-0000-000000000000}"/>
  <bookViews>
    <workbookView xWindow="-110" yWindow="-110" windowWidth="19420" windowHeight="10300" tabRatio="717" firstSheet="1" activeTab="1" xr2:uid="{DEE93DA4-6308-4A3B-A0D6-219E9D70A6F5}"/>
  </bookViews>
  <sheets>
    <sheet name="READ.ME" sheetId="3" r:id="rId1"/>
    <sheet name="CombinedData" sheetId="1" r:id="rId2"/>
    <sheet name="RawData_Rat1" sheetId="31" r:id="rId3"/>
    <sheet name="RawData_Rat2" sheetId="33" r:id="rId4"/>
    <sheet name="RawData_Rat3" sheetId="34" r:id="rId5"/>
    <sheet name="RawData_Rat4" sheetId="4" r:id="rId6"/>
    <sheet name="RawData_Rat5" sheetId="9" r:id="rId7"/>
    <sheet name="RawData_Rat6" sheetId="13" r:id="rId8"/>
    <sheet name="RawData_Rat7" sheetId="21" r:id="rId9"/>
    <sheet name="RawData_Rat8" sheetId="12" r:id="rId10"/>
    <sheet name="RawData_Rat9" sheetId="15" r:id="rId11"/>
    <sheet name="RawData_Rat10" sheetId="22" r:id="rId12"/>
    <sheet name="RawData_Rat11" sheetId="23" r:id="rId13"/>
    <sheet name="RawData_Rat12" sheetId="24" r:id="rId14"/>
    <sheet name="RawData_Rat13" sheetId="26" r:id="rId15"/>
    <sheet name="RawData_Rat14" sheetId="27" r:id="rId16"/>
    <sheet name="RawData_Rat15" sheetId="28" r:id="rId17"/>
    <sheet name="RawData_Rat16" sheetId="30" r:id="rId18"/>
    <sheet name="RawData_Rat17" sheetId="29" r:id="rId19"/>
    <sheet name="RawData_Rat18" sheetId="32" r:id="rId20"/>
    <sheet name="RawData_Rat19" sheetId="35" r:id="rId21"/>
    <sheet name="RawData_Rat20" sheetId="36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1" l="1"/>
  <c r="T40" i="1"/>
  <c r="S41" i="1"/>
  <c r="S40" i="1"/>
  <c r="R41" i="1"/>
  <c r="R40" i="1"/>
  <c r="Q41" i="1"/>
  <c r="Q40" i="1"/>
  <c r="P41" i="1"/>
  <c r="P40" i="1"/>
  <c r="O41" i="1"/>
  <c r="O40" i="1"/>
  <c r="N41" i="1"/>
  <c r="N40" i="1"/>
  <c r="M41" i="1"/>
  <c r="M40" i="1"/>
  <c r="L41" i="1"/>
  <c r="L40" i="1"/>
  <c r="K41" i="1"/>
  <c r="K40" i="1"/>
  <c r="D76" i="36"/>
  <c r="D40" i="36"/>
  <c r="E80" i="36"/>
  <c r="D80" i="36"/>
  <c r="E79" i="36"/>
  <c r="D79" i="36"/>
  <c r="E78" i="36"/>
  <c r="D78" i="36"/>
  <c r="E77" i="36"/>
  <c r="D77" i="36"/>
  <c r="E76" i="36"/>
  <c r="E40" i="36"/>
  <c r="E39" i="36"/>
  <c r="D39" i="36"/>
  <c r="E38" i="36"/>
  <c r="D38" i="36"/>
  <c r="E37" i="36"/>
  <c r="D37" i="36"/>
  <c r="E36" i="36"/>
  <c r="D36" i="36"/>
  <c r="E80" i="35"/>
  <c r="D80" i="35"/>
  <c r="E79" i="35"/>
  <c r="D79" i="35"/>
  <c r="E78" i="35"/>
  <c r="D78" i="35"/>
  <c r="E77" i="35"/>
  <c r="D77" i="35"/>
  <c r="E76" i="35"/>
  <c r="D76" i="35"/>
  <c r="E40" i="35"/>
  <c r="D40" i="35"/>
  <c r="E39" i="35"/>
  <c r="D39" i="35"/>
  <c r="E38" i="35"/>
  <c r="D38" i="35"/>
  <c r="E37" i="35"/>
  <c r="D37" i="35"/>
  <c r="E36" i="35"/>
  <c r="D36" i="35"/>
  <c r="E79" i="4"/>
  <c r="T9" i="1" s="1"/>
  <c r="E78" i="4"/>
  <c r="S9" i="1" s="1"/>
  <c r="E77" i="4"/>
  <c r="R9" i="1" s="1"/>
  <c r="E76" i="4"/>
  <c r="Q9" i="1" s="1"/>
  <c r="E75" i="4"/>
  <c r="P9" i="1" s="1"/>
  <c r="T37" i="1"/>
  <c r="T36" i="1"/>
  <c r="T35" i="1"/>
  <c r="T34" i="1"/>
  <c r="R37" i="1"/>
  <c r="R36" i="1"/>
  <c r="R35" i="1"/>
  <c r="R34" i="1"/>
  <c r="Q37" i="1"/>
  <c r="Q36" i="1"/>
  <c r="Q35" i="1"/>
  <c r="Q34" i="1"/>
  <c r="P37" i="1"/>
  <c r="P36" i="1"/>
  <c r="P35" i="1"/>
  <c r="P34" i="1"/>
  <c r="S37" i="1"/>
  <c r="S36" i="1"/>
  <c r="S35" i="1"/>
  <c r="S34" i="1"/>
  <c r="O37" i="1"/>
  <c r="O36" i="1"/>
  <c r="O35" i="1"/>
  <c r="O34" i="1"/>
  <c r="N37" i="1"/>
  <c r="N36" i="1"/>
  <c r="N35" i="1"/>
  <c r="N34" i="1"/>
  <c r="M37" i="1"/>
  <c r="M36" i="1"/>
  <c r="M35" i="1"/>
  <c r="M34" i="1"/>
  <c r="L37" i="1"/>
  <c r="L36" i="1"/>
  <c r="L35" i="1"/>
  <c r="L34" i="1"/>
  <c r="K37" i="1"/>
  <c r="K36" i="1"/>
  <c r="K35" i="1"/>
  <c r="K34" i="1"/>
  <c r="K2" i="1"/>
  <c r="T33" i="1"/>
  <c r="S33" i="1"/>
  <c r="R33" i="1"/>
  <c r="Q33" i="1"/>
  <c r="P33" i="1"/>
  <c r="T32" i="1"/>
  <c r="S32" i="1"/>
  <c r="R32" i="1"/>
  <c r="Q32" i="1"/>
  <c r="P32" i="1"/>
  <c r="T31" i="1"/>
  <c r="S31" i="1"/>
  <c r="R31" i="1"/>
  <c r="Q31" i="1"/>
  <c r="P31" i="1"/>
  <c r="T30" i="1"/>
  <c r="S30" i="1"/>
  <c r="R30" i="1"/>
  <c r="Q30" i="1"/>
  <c r="P30" i="1"/>
  <c r="T29" i="1"/>
  <c r="S29" i="1"/>
  <c r="R29" i="1"/>
  <c r="Q29" i="1"/>
  <c r="P29" i="1"/>
  <c r="T28" i="1"/>
  <c r="S28" i="1"/>
  <c r="R28" i="1"/>
  <c r="Q28" i="1"/>
  <c r="P28" i="1"/>
  <c r="T27" i="1"/>
  <c r="S27" i="1"/>
  <c r="R27" i="1"/>
  <c r="Q27" i="1"/>
  <c r="P27" i="1"/>
  <c r="T26" i="1"/>
  <c r="S26" i="1"/>
  <c r="R26" i="1"/>
  <c r="Q26" i="1"/>
  <c r="P26" i="1"/>
  <c r="T25" i="1"/>
  <c r="S25" i="1"/>
  <c r="R25" i="1"/>
  <c r="Q25" i="1"/>
  <c r="P25" i="1"/>
  <c r="T24" i="1"/>
  <c r="S24" i="1"/>
  <c r="R24" i="1"/>
  <c r="Q24" i="1"/>
  <c r="P24" i="1"/>
  <c r="T23" i="1"/>
  <c r="S23" i="1"/>
  <c r="R23" i="1"/>
  <c r="Q23" i="1"/>
  <c r="P23" i="1"/>
  <c r="T22" i="1"/>
  <c r="S22" i="1"/>
  <c r="R22" i="1"/>
  <c r="Q22" i="1"/>
  <c r="P22" i="1"/>
  <c r="O33" i="1"/>
  <c r="N33" i="1"/>
  <c r="M33" i="1"/>
  <c r="L33" i="1"/>
  <c r="K33" i="1"/>
  <c r="O32" i="1"/>
  <c r="N32" i="1"/>
  <c r="M32" i="1"/>
  <c r="L32" i="1"/>
  <c r="K32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O28" i="1"/>
  <c r="N28" i="1"/>
  <c r="M28" i="1"/>
  <c r="L28" i="1"/>
  <c r="K28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17" i="1"/>
  <c r="N17" i="1"/>
  <c r="M17" i="1"/>
  <c r="L17" i="1"/>
  <c r="K17" i="1"/>
  <c r="O16" i="1"/>
  <c r="N16" i="1"/>
  <c r="M16" i="1"/>
  <c r="L16" i="1"/>
  <c r="K16" i="1"/>
  <c r="O15" i="1"/>
  <c r="N15" i="1"/>
  <c r="M15" i="1"/>
  <c r="L15" i="1"/>
  <c r="K15" i="1"/>
  <c r="O14" i="1"/>
  <c r="N14" i="1"/>
  <c r="M14" i="1"/>
  <c r="L14" i="1"/>
  <c r="K14" i="1"/>
  <c r="T17" i="1"/>
  <c r="T16" i="1"/>
  <c r="T15" i="1"/>
  <c r="S16" i="1"/>
  <c r="S15" i="1"/>
  <c r="S17" i="1"/>
  <c r="P17" i="1"/>
  <c r="P16" i="1"/>
  <c r="P15" i="1"/>
  <c r="Q17" i="1"/>
  <c r="Q16" i="1"/>
  <c r="Q15" i="1"/>
  <c r="Q14" i="1"/>
  <c r="R17" i="1"/>
  <c r="R16" i="1"/>
  <c r="R15" i="1"/>
  <c r="R14" i="1"/>
  <c r="S14" i="1"/>
  <c r="P14" i="1"/>
  <c r="T14" i="1"/>
  <c r="T13" i="1"/>
  <c r="S13" i="1"/>
  <c r="R13" i="1"/>
  <c r="Q13" i="1"/>
  <c r="P13" i="1"/>
  <c r="T12" i="1"/>
  <c r="S12" i="1"/>
  <c r="R12" i="1"/>
  <c r="Q12" i="1"/>
  <c r="P12" i="1"/>
  <c r="T11" i="1"/>
  <c r="S11" i="1"/>
  <c r="R11" i="1"/>
  <c r="Q11" i="1"/>
  <c r="P11" i="1"/>
  <c r="T10" i="1"/>
  <c r="S10" i="1"/>
  <c r="R10" i="1"/>
  <c r="Q10" i="1"/>
  <c r="P10" i="1"/>
  <c r="T8" i="1"/>
  <c r="S8" i="1"/>
  <c r="R8" i="1"/>
  <c r="Q8" i="1"/>
  <c r="P8" i="1"/>
  <c r="T7" i="1"/>
  <c r="S7" i="1"/>
  <c r="R7" i="1"/>
  <c r="Q7" i="1"/>
  <c r="P7" i="1"/>
  <c r="T6" i="1"/>
  <c r="S6" i="1"/>
  <c r="R6" i="1"/>
  <c r="Q6" i="1"/>
  <c r="P6" i="1"/>
  <c r="T5" i="1"/>
  <c r="S5" i="1"/>
  <c r="R5" i="1"/>
  <c r="Q5" i="1"/>
  <c r="P5" i="1"/>
  <c r="T4" i="1"/>
  <c r="S4" i="1"/>
  <c r="R4" i="1"/>
  <c r="Q4" i="1"/>
  <c r="P4" i="1"/>
  <c r="T3" i="1"/>
  <c r="S3" i="1"/>
  <c r="R3" i="1"/>
  <c r="Q3" i="1"/>
  <c r="P3" i="1"/>
  <c r="T2" i="1"/>
  <c r="S2" i="1"/>
  <c r="Q2" i="1"/>
  <c r="R2" i="1"/>
  <c r="P2" i="1"/>
  <c r="E80" i="31"/>
  <c r="E79" i="31"/>
  <c r="E78" i="31"/>
  <c r="E77" i="31"/>
  <c r="E76" i="31"/>
  <c r="E40" i="31"/>
  <c r="E39" i="31"/>
  <c r="E38" i="31"/>
  <c r="E37" i="31"/>
  <c r="E36" i="31"/>
  <c r="E80" i="33"/>
  <c r="E79" i="33"/>
  <c r="E78" i="33"/>
  <c r="E77" i="33"/>
  <c r="E76" i="33"/>
  <c r="E40" i="33"/>
  <c r="E39" i="33"/>
  <c r="E38" i="33"/>
  <c r="E37" i="33"/>
  <c r="E36" i="33"/>
  <c r="E40" i="4"/>
  <c r="E39" i="4"/>
  <c r="E38" i="4"/>
  <c r="E37" i="4"/>
  <c r="E36" i="4"/>
  <c r="E79" i="9"/>
  <c r="E78" i="9"/>
  <c r="E77" i="9"/>
  <c r="E76" i="9"/>
  <c r="E75" i="9"/>
  <c r="E39" i="9"/>
  <c r="E38" i="9"/>
  <c r="E37" i="9"/>
  <c r="E36" i="9"/>
  <c r="E35" i="9"/>
  <c r="E80" i="13"/>
  <c r="E79" i="13"/>
  <c r="E78" i="13"/>
  <c r="E77" i="13"/>
  <c r="E76" i="13"/>
  <c r="E40" i="13"/>
  <c r="E39" i="13"/>
  <c r="E38" i="13"/>
  <c r="E37" i="13"/>
  <c r="E36" i="13"/>
  <c r="E80" i="21"/>
  <c r="E79" i="21"/>
  <c r="E78" i="21"/>
  <c r="E77" i="21"/>
  <c r="E76" i="21"/>
  <c r="E40" i="21"/>
  <c r="E39" i="21"/>
  <c r="E38" i="21"/>
  <c r="E37" i="21"/>
  <c r="E36" i="21"/>
  <c r="E80" i="12"/>
  <c r="E79" i="12"/>
  <c r="E78" i="12"/>
  <c r="E77" i="12"/>
  <c r="E76" i="12"/>
  <c r="E40" i="12"/>
  <c r="E39" i="12"/>
  <c r="E38" i="12"/>
  <c r="E37" i="12"/>
  <c r="E36" i="12"/>
  <c r="E80" i="23"/>
  <c r="E79" i="23"/>
  <c r="E78" i="23"/>
  <c r="E77" i="23"/>
  <c r="E76" i="23"/>
  <c r="E40" i="23"/>
  <c r="E39" i="23"/>
  <c r="E38" i="23"/>
  <c r="E37" i="23"/>
  <c r="E36" i="23"/>
  <c r="E80" i="24"/>
  <c r="E79" i="24"/>
  <c r="E78" i="24"/>
  <c r="E77" i="24"/>
  <c r="E76" i="24"/>
  <c r="E40" i="24"/>
  <c r="E39" i="24"/>
  <c r="E38" i="24"/>
  <c r="E37" i="24"/>
  <c r="E36" i="24"/>
  <c r="E80" i="26"/>
  <c r="E79" i="26"/>
  <c r="E78" i="26"/>
  <c r="E77" i="26"/>
  <c r="E76" i="26"/>
  <c r="E40" i="26"/>
  <c r="E39" i="26"/>
  <c r="E38" i="26"/>
  <c r="E37" i="26"/>
  <c r="E36" i="26"/>
  <c r="E80" i="27"/>
  <c r="E79" i="27"/>
  <c r="E78" i="27"/>
  <c r="E77" i="27"/>
  <c r="E76" i="27"/>
  <c r="E40" i="27"/>
  <c r="E39" i="27"/>
  <c r="E38" i="27"/>
  <c r="E37" i="27"/>
  <c r="E36" i="27"/>
  <c r="E80" i="28"/>
  <c r="E79" i="28"/>
  <c r="E78" i="28"/>
  <c r="E77" i="28"/>
  <c r="E76" i="28"/>
  <c r="E40" i="28"/>
  <c r="E39" i="28"/>
  <c r="E38" i="28"/>
  <c r="E37" i="28"/>
  <c r="E36" i="28"/>
  <c r="E80" i="30"/>
  <c r="E79" i="30"/>
  <c r="E78" i="30"/>
  <c r="E77" i="30"/>
  <c r="E76" i="30"/>
  <c r="E40" i="30"/>
  <c r="E39" i="30"/>
  <c r="E38" i="30"/>
  <c r="E37" i="30"/>
  <c r="E36" i="30"/>
  <c r="E80" i="32"/>
  <c r="E79" i="32"/>
  <c r="E78" i="32"/>
  <c r="E77" i="32"/>
  <c r="E76" i="32"/>
  <c r="E40" i="32"/>
  <c r="D40" i="32"/>
  <c r="E39" i="32"/>
  <c r="E38" i="32"/>
  <c r="E37" i="32"/>
  <c r="E36" i="32"/>
  <c r="D80" i="32"/>
  <c r="D79" i="32"/>
  <c r="D78" i="32"/>
  <c r="D77" i="32"/>
  <c r="D76" i="32"/>
  <c r="O13" i="1" l="1"/>
  <c r="N13" i="1"/>
  <c r="M13" i="1"/>
  <c r="L13" i="1"/>
  <c r="K13" i="1"/>
  <c r="O12" i="1"/>
  <c r="N12" i="1"/>
  <c r="M12" i="1"/>
  <c r="L12" i="1"/>
  <c r="K12" i="1"/>
  <c r="K11" i="1"/>
  <c r="D80" i="13"/>
  <c r="D40" i="13"/>
  <c r="O5" i="1"/>
  <c r="N5" i="1"/>
  <c r="M5" i="1"/>
  <c r="L5" i="1"/>
  <c r="K5" i="1"/>
  <c r="O4" i="1"/>
  <c r="N4" i="1"/>
  <c r="M4" i="1"/>
  <c r="L4" i="1"/>
  <c r="K4" i="1"/>
  <c r="O3" i="1"/>
  <c r="O2" i="1"/>
  <c r="N3" i="1"/>
  <c r="N2" i="1"/>
  <c r="M3" i="1"/>
  <c r="M2" i="1"/>
  <c r="L3" i="1"/>
  <c r="L2" i="1"/>
  <c r="K3" i="1"/>
  <c r="O7" i="1"/>
  <c r="O6" i="1"/>
  <c r="N7" i="1"/>
  <c r="N6" i="1"/>
  <c r="M7" i="1"/>
  <c r="M6" i="1"/>
  <c r="L7" i="1"/>
  <c r="L6" i="1"/>
  <c r="K7" i="1"/>
  <c r="K6" i="1"/>
  <c r="D80" i="34"/>
  <c r="D79" i="34"/>
  <c r="D78" i="34"/>
  <c r="D77" i="34"/>
  <c r="D76" i="34"/>
  <c r="D40" i="34"/>
  <c r="D39" i="34"/>
  <c r="D38" i="34"/>
  <c r="D37" i="34"/>
  <c r="D36" i="34"/>
  <c r="D80" i="33"/>
  <c r="D79" i="33"/>
  <c r="D78" i="33"/>
  <c r="D77" i="33"/>
  <c r="D76" i="33"/>
  <c r="D40" i="33"/>
  <c r="D39" i="33"/>
  <c r="D38" i="33"/>
  <c r="D37" i="33"/>
  <c r="D36" i="33"/>
  <c r="D39" i="32"/>
  <c r="D38" i="32"/>
  <c r="D37" i="32"/>
  <c r="D36" i="32"/>
  <c r="D80" i="31"/>
  <c r="D79" i="31"/>
  <c r="D78" i="31"/>
  <c r="D77" i="31"/>
  <c r="D76" i="31"/>
  <c r="D40" i="31"/>
  <c r="D39" i="31"/>
  <c r="D38" i="31"/>
  <c r="D37" i="31"/>
  <c r="D36" i="31"/>
  <c r="D80" i="30"/>
  <c r="D79" i="30"/>
  <c r="D78" i="30"/>
  <c r="D77" i="30"/>
  <c r="D76" i="30"/>
  <c r="D40" i="30"/>
  <c r="D39" i="30"/>
  <c r="D38" i="30"/>
  <c r="D37" i="30"/>
  <c r="D36" i="30"/>
  <c r="D80" i="29"/>
  <c r="D79" i="29"/>
  <c r="D78" i="29"/>
  <c r="D77" i="29"/>
  <c r="D76" i="29"/>
  <c r="D40" i="29"/>
  <c r="D39" i="29"/>
  <c r="D38" i="29"/>
  <c r="D37" i="29"/>
  <c r="D36" i="29"/>
  <c r="D80" i="28"/>
  <c r="D79" i="28"/>
  <c r="D78" i="28"/>
  <c r="D77" i="28"/>
  <c r="D76" i="28"/>
  <c r="D40" i="28"/>
  <c r="D39" i="28"/>
  <c r="D38" i="28"/>
  <c r="D37" i="28"/>
  <c r="D36" i="28"/>
  <c r="D80" i="27"/>
  <c r="D79" i="27"/>
  <c r="D78" i="27"/>
  <c r="D77" i="27"/>
  <c r="D76" i="27"/>
  <c r="D40" i="27"/>
  <c r="D39" i="27"/>
  <c r="D38" i="27"/>
  <c r="D37" i="27"/>
  <c r="D36" i="27"/>
  <c r="D36" i="24"/>
  <c r="D80" i="26"/>
  <c r="D79" i="26"/>
  <c r="D78" i="26"/>
  <c r="D77" i="26"/>
  <c r="D76" i="26"/>
  <c r="D40" i="26"/>
  <c r="D39" i="26"/>
  <c r="D38" i="26"/>
  <c r="D37" i="26"/>
  <c r="D36" i="26"/>
  <c r="O11" i="1"/>
  <c r="O10" i="1"/>
  <c r="O8" i="1"/>
  <c r="D80" i="24"/>
  <c r="D79" i="24"/>
  <c r="D78" i="24"/>
  <c r="D77" i="24"/>
  <c r="D76" i="24"/>
  <c r="D40" i="24"/>
  <c r="D39" i="24"/>
  <c r="D38" i="24"/>
  <c r="D37" i="24"/>
  <c r="D80" i="23"/>
  <c r="D79" i="23"/>
  <c r="D78" i="23"/>
  <c r="D77" i="23"/>
  <c r="D76" i="23"/>
  <c r="D40" i="23"/>
  <c r="D39" i="23"/>
  <c r="D38" i="23"/>
  <c r="D37" i="23"/>
  <c r="D36" i="23"/>
  <c r="D80" i="22"/>
  <c r="D79" i="22"/>
  <c r="D78" i="22"/>
  <c r="D77" i="22"/>
  <c r="D76" i="22"/>
  <c r="D40" i="22"/>
  <c r="D39" i="22"/>
  <c r="D38" i="22"/>
  <c r="D37" i="22"/>
  <c r="D36" i="22"/>
  <c r="D80" i="15"/>
  <c r="D40" i="15"/>
  <c r="D80" i="12"/>
  <c r="D40" i="12"/>
  <c r="D79" i="9"/>
  <c r="D39" i="9"/>
  <c r="D79" i="4"/>
  <c r="O9" i="1" s="1"/>
  <c r="D40" i="4"/>
  <c r="D37" i="12"/>
  <c r="D36" i="21"/>
  <c r="D37" i="21"/>
  <c r="D38" i="21"/>
  <c r="D39" i="21"/>
  <c r="D40" i="21"/>
  <c r="D76" i="21"/>
  <c r="D77" i="21"/>
  <c r="D78" i="21"/>
  <c r="D79" i="21"/>
  <c r="D80" i="21"/>
  <c r="L8" i="1"/>
  <c r="K9" i="1"/>
  <c r="K8" i="1"/>
  <c r="D36" i="12"/>
  <c r="D79" i="15"/>
  <c r="D78" i="15"/>
  <c r="D77" i="15"/>
  <c r="D76" i="15"/>
  <c r="D39" i="15"/>
  <c r="D38" i="15"/>
  <c r="D37" i="15"/>
  <c r="D36" i="15"/>
  <c r="D79" i="13"/>
  <c r="D78" i="13"/>
  <c r="D77" i="13"/>
  <c r="D76" i="13"/>
  <c r="D39" i="13"/>
  <c r="D38" i="13"/>
  <c r="D37" i="13"/>
  <c r="D36" i="13"/>
  <c r="D79" i="12"/>
  <c r="D78" i="12"/>
  <c r="D77" i="12"/>
  <c r="D76" i="12"/>
  <c r="D39" i="12"/>
  <c r="D38" i="12"/>
  <c r="N11" i="1"/>
  <c r="M11" i="1"/>
  <c r="L11" i="1"/>
  <c r="N10" i="1"/>
  <c r="M10" i="1"/>
  <c r="L10" i="1"/>
  <c r="K10" i="1"/>
  <c r="D78" i="9"/>
  <c r="D77" i="9"/>
  <c r="D76" i="9"/>
  <c r="D75" i="9"/>
  <c r="D38" i="9"/>
  <c r="D37" i="9"/>
  <c r="D36" i="9"/>
  <c r="D35" i="9"/>
  <c r="N9" i="1"/>
  <c r="L9" i="1"/>
  <c r="M8" i="1"/>
  <c r="N8" i="1"/>
  <c r="D78" i="4"/>
  <c r="D77" i="4"/>
  <c r="M9" i="1" s="1"/>
  <c r="D76" i="4"/>
  <c r="D75" i="4"/>
  <c r="D38" i="4"/>
  <c r="D39" i="4"/>
  <c r="D37" i="4"/>
  <c r="D3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13" authorId="0" shapeId="0" xr:uid="{524343C2-5CB7-44DE-929D-F88A537552DB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Do I count this because there are 2 pellets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44" authorId="0" shapeId="0" xr:uid="{27ED20BA-94D3-4D68-93FC-555BC942D0FE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2 different attempts because of change in body posture. Do we look at the first attempt? So a failure? Or the second which is a pellet to box?</t>
        </r>
      </text>
    </comment>
    <comment ref="D70" authorId="0" shapeId="0" xr:uid="{4DB65511-A70C-45D0-96FC-FDD87EFDDA2A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2 different attempts because of change in body posture. Do we look at the first attempt? So a failure? Or the second which is a pellet to mouth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  <author>annebakker2003@gmail.com</author>
  </authors>
  <commentList>
    <comment ref="D9" authorId="0" shapeId="0" xr:uid="{535712F3-F535-4990-876A-FB1F781E17AE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2 different attempts because of change in body posture. Do we look at the first attempt? So a failure? Or the second which is a pellet to mouth, Or do we count them as 2 different attempts?</t>
        </r>
      </text>
    </comment>
    <comment ref="D45" authorId="1" shapeId="0" xr:uid="{3D0F9F0F-5854-432F-A0D2-98DCAF5CAD3B}">
      <text>
        <r>
          <rPr>
            <sz val="11"/>
            <color theme="1"/>
            <rFont val="Aptos Narrow"/>
            <family val="2"/>
            <scheme val="minor"/>
          </rPr>
          <t xml:space="preserve">annebakker2003@gmail.com:
Do we count this as an attempt?
</t>
        </r>
      </text>
    </comment>
    <comment ref="D47" authorId="1" shapeId="0" xr:uid="{882F91E9-F1DF-4CE0-AC2F-DBE561052FDB}">
      <text>
        <r>
          <rPr>
            <sz val="11"/>
            <color theme="1"/>
            <rFont val="Aptos Narrow"/>
            <family val="2"/>
            <scheme val="minor"/>
          </rPr>
          <t xml:space="preserve">annebakker2003@gmail.com:
Do we count this as an attempt?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3" authorId="0" shapeId="0" xr:uid="{79680730-5010-485F-9FC7-257F31F2BA32}">
      <text>
        <r>
          <rPr>
            <b/>
            <sz val="9"/>
            <color indexed="81"/>
            <rFont val="Tahoma"/>
          </rPr>
          <t>anne bakker:</t>
        </r>
        <r>
          <rPr>
            <sz val="9"/>
            <color indexed="81"/>
            <rFont val="Tahoma"/>
          </rPr>
          <t xml:space="preserve">
He was already with his paw through the slot when the video starts, but i think it would be his second reach right?</t>
        </r>
      </text>
    </comment>
    <comment ref="D18" authorId="0" shapeId="0" xr:uid="{B0585A02-12BA-4EB5-9BAC-537AF7C46F90}">
      <text>
        <r>
          <rPr>
            <b/>
            <sz val="9"/>
            <color indexed="81"/>
            <rFont val="Tahoma"/>
          </rPr>
          <t>anne bakker:</t>
        </r>
        <r>
          <rPr>
            <sz val="9"/>
            <color indexed="81"/>
            <rFont val="Tahoma"/>
          </rPr>
          <t xml:space="preserve">
I find it hard to say if this is dragging because in the last bit he turns his paw slightly</t>
        </r>
      </text>
    </comment>
    <comment ref="D63" authorId="0" shapeId="0" xr:uid="{2E928AF4-FAF8-4E80-BE8B-BA5F89921D96}">
      <text>
        <r>
          <rPr>
            <b/>
            <sz val="9"/>
            <color indexed="81"/>
            <rFont val="Tahoma"/>
          </rPr>
          <t>anne bakker:</t>
        </r>
        <r>
          <rPr>
            <sz val="9"/>
            <color indexed="81"/>
            <rFont val="Tahoma"/>
          </rPr>
          <t xml:space="preserve">
No swift in body position but the paw did move back in the box 3 times, still a PB?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24" authorId="0" shapeId="0" xr:uid="{8F950FA2-E906-4318-B33C-8E1FDD03507D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Same as below
</t>
        </r>
      </text>
    </comment>
    <comment ref="D28" authorId="0" shapeId="0" xr:uid="{B0CF1182-8DA8-411A-9EAF-017B3810A0D3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He moved his second paw closer by but his other paw was still in the air, do we count that as one try?</t>
        </r>
      </text>
    </comment>
    <comment ref="D53" authorId="0" shapeId="0" xr:uid="{B382EBFF-5609-4DC7-8EC8-9A003872750A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Is this a second try? Because of the pellet moving, like we talked about?</t>
        </r>
      </text>
    </comment>
    <comment ref="D56" authorId="0" shapeId="0" xr:uid="{AA16E0CF-0615-4CBD-8E83-4560F9967AE9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Is this a second try? Because of the pellet moving, like we talked about?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5" authorId="0" shapeId="0" xr:uid="{E5C73EB4-4A3C-47BA-AB6F-9A9E713691D9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The rat first aimed for the other pellet i am holding, is that then still a try and therefor a fail? Or because it was aimed at an other pellet and later on to the 'good' pellet a 2+ reach - pellet to mouth?</t>
        </r>
      </text>
    </comment>
    <comment ref="D16" authorId="0" shapeId="0" xr:uid="{0E6EDBB4-7EC7-4918-8FA4-46177553AE38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He does not change position but the pellet moves, is it still 2+ reach pellet to box?</t>
        </r>
      </text>
    </comment>
    <comment ref="D26" authorId="0" shapeId="0" xr:uid="{83767407-3C57-4FE3-8E7F-B5DF14493479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Is the first one a try or is it reaching for me? Also do we count this as a try since he was in front of the box when we placed the pellet? Later on in the trainings we focus more on that.</t>
        </r>
      </text>
    </comment>
    <comment ref="D54" authorId="0" shapeId="0" xr:uid="{6B6C2708-842A-4FA6-A8A4-1B9178ABA17D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Is this a fail?
</t>
        </r>
      </text>
    </comment>
    <comment ref="D66" authorId="0" shapeId="0" xr:uid="{D387B450-F464-4A44-A019-1D32003DACAD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Is this success or more like dragging? </t>
        </r>
      </text>
    </comment>
    <comment ref="D67" authorId="0" shapeId="0" xr:uid="{99E5ACEC-B8E4-436D-B65A-852B29721370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Is this a PB 2+ reaches or is it failure, because he moved his other paw?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15" authorId="0" shapeId="0" xr:uid="{D3314173-8E55-49CE-AF09-6F726927B901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Is this an attempt?
</t>
        </r>
      </text>
    </comment>
    <comment ref="D54" authorId="0" shapeId="0" xr:uid="{6B18A36A-6E65-41AC-B1EF-C6A6CB8EB293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2+ reaches?? Or only 1 reach to the pellet
</t>
        </r>
      </text>
    </comment>
    <comment ref="D56" authorId="0" shapeId="0" xr:uid="{D4409B7A-01D7-4B9C-93BF-854EBB06D398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Failre or 2+ reaches PB?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5" authorId="0" shapeId="0" xr:uid="{E9A39C05-820A-4564-B64F-778AC7728D7B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Is dragging and not grasping, but we classified dragging as if the pellet doesnt fall in the box. So is this classified a fail or a PB?</t>
        </r>
      </text>
    </comment>
    <comment ref="D16" authorId="0" shapeId="0" xr:uid="{29F83147-6125-4726-B95B-B4C5C08F48B4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There are 2 pellets which may cause difficulties, do we count this one?</t>
        </r>
      </text>
    </comment>
    <comment ref="D18" authorId="0" shapeId="0" xr:uid="{0F41A845-F3BB-46C3-8737-69D5A980E131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On the whiteboard it said no recording of a grasp, do i include those or not?</t>
        </r>
      </text>
    </comment>
    <comment ref="D43" authorId="0" shapeId="0" xr:uid="{3140F42D-7E6F-4B5F-9789-87BCCD736095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He used his right paw instead of left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F27" authorId="0" shapeId="0" xr:uid="{89B06CD5-0622-4935-831B-A66BA561F0D4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68" authorId="0" shapeId="0" xr:uid="{00C98565-9DF5-477A-8090-91B431C0D602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This is a failure right? Because of change in body and the pellet moved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68" authorId="0" shapeId="0" xr:uid="{34C4C948-56B4-43C0-A371-14864AF4BD2B}">
      <text>
        <r>
          <rPr>
            <b/>
            <sz val="9"/>
            <color indexed="81"/>
            <rFont val="Tahoma"/>
            <family val="2"/>
          </rPr>
          <t>anne bakker:</t>
        </r>
        <r>
          <rPr>
            <sz val="9"/>
            <color indexed="81"/>
            <rFont val="Tahoma"/>
            <family val="2"/>
          </rPr>
          <t xml:space="preserve">
This is a failure right? Because of change in body and the pellet moved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bakker</author>
  </authors>
  <commentList>
    <comment ref="D6" authorId="0" shapeId="0" xr:uid="{46DE2665-99B1-4DDA-ABEF-2FAB04B08B25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Is this a failure or success? Is the first one an attempt?
</t>
        </r>
      </text>
    </comment>
    <comment ref="D32" authorId="0" shapeId="0" xr:uid="{54F15B63-9E2A-4113-AB9D-7CC9B9EEA4FA}">
      <text>
        <r>
          <rPr>
            <b/>
            <sz val="9"/>
            <color indexed="81"/>
            <rFont val="Tahoma"/>
            <charset val="1"/>
          </rPr>
          <t>anne bakker:</t>
        </r>
        <r>
          <rPr>
            <sz val="9"/>
            <color indexed="81"/>
            <rFont val="Tahoma"/>
            <charset val="1"/>
          </rPr>
          <t xml:space="preserve">
Pellet got in the box, but i would score this as failure because the pellet landed in the box by accident, what do you think?</t>
        </r>
      </text>
    </comment>
  </commentList>
</comments>
</file>

<file path=xl/sharedStrings.xml><?xml version="1.0" encoding="utf-8"?>
<sst xmlns="http://schemas.openxmlformats.org/spreadsheetml/2006/main" count="3796" uniqueCount="699">
  <si>
    <t>Stroke-status</t>
  </si>
  <si>
    <t>Gender</t>
  </si>
  <si>
    <t>Weight</t>
  </si>
  <si>
    <t>Age</t>
  </si>
  <si>
    <t>Dominant paw</t>
  </si>
  <si>
    <t>Time in box</t>
  </si>
  <si>
    <t>Number of trainings</t>
  </si>
  <si>
    <t>First trial success</t>
  </si>
  <si>
    <t>Total success</t>
  </si>
  <si>
    <t>Total pellet to box</t>
  </si>
  <si>
    <t>Total fail</t>
  </si>
  <si>
    <t>Baseline</t>
  </si>
  <si>
    <t>Post</t>
  </si>
  <si>
    <t>R4</t>
  </si>
  <si>
    <t>R5</t>
  </si>
  <si>
    <t>R6</t>
  </si>
  <si>
    <t>R7</t>
  </si>
  <si>
    <t>Left paw</t>
  </si>
  <si>
    <t>Number</t>
  </si>
  <si>
    <t>Animal</t>
  </si>
  <si>
    <t>Video-number</t>
  </si>
  <si>
    <t>1st reach - Pellet to Mouth (success)</t>
  </si>
  <si>
    <t>1st reach - Pellet to Box (failure)</t>
  </si>
  <si>
    <t>2+ reaches - Pellet to Mouth (success)</t>
  </si>
  <si>
    <t>2+ reaches - Pellet to Box (failure)</t>
  </si>
  <si>
    <t>Failure</t>
  </si>
  <si>
    <t>Dragging (failure)</t>
  </si>
  <si>
    <t>Rat 1</t>
  </si>
  <si>
    <t>3 days post stroke</t>
  </si>
  <si>
    <t>Rat 2</t>
  </si>
  <si>
    <t>Rat 4</t>
  </si>
  <si>
    <t>Rat 5</t>
  </si>
  <si>
    <t>Basler_acA720-520uc__40502463__20250312_095049315</t>
  </si>
  <si>
    <t>Basler_acA720-520uc__40502463__20250312_095111453</t>
  </si>
  <si>
    <t>Basler_acA720-520uc__40502463__20250312_095137718</t>
  </si>
  <si>
    <t>Basler_acA720-520uc__40502463__20250312_095205302</t>
  </si>
  <si>
    <t>Basler_acA720-520uc__40502463__20250312_095236667</t>
  </si>
  <si>
    <t>Basler_acA720-520uc__40502463__20250312_095338802</t>
  </si>
  <si>
    <t>Basler_acA720-520uc__40502463__20250312_095350151</t>
  </si>
  <si>
    <t>Basler_acA720-520uc__40502463__20250312_095409145</t>
  </si>
  <si>
    <t>Basler_acA720-520uc__40502463__20250312_095444939</t>
  </si>
  <si>
    <t>Basler_acA720-520uc__40502463__20250312_095504659</t>
  </si>
  <si>
    <t>Basler_acA720-520uc__40502463__20250312_095533028</t>
  </si>
  <si>
    <t>Basler_acA720-520uc__40502463__20250312_095558582</t>
  </si>
  <si>
    <t>Basler_acA720-520uc__40502463__20250312_095617876</t>
  </si>
  <si>
    <t>Basler_acA720-520uc__40502463__20250312_095704979</t>
  </si>
  <si>
    <t>Basler_acA720-520uc__40502463__20250312_095720954</t>
  </si>
  <si>
    <t>Basler_acA720-520uc__40502463__20250312_095747271</t>
  </si>
  <si>
    <t>Basler_acA720-520uc__40502463__20250312_095812175</t>
  </si>
  <si>
    <t>Basler_acA720-520uc__40502463__20250312_095850086</t>
  </si>
  <si>
    <t>Basler_acA720-520uc__40502463__20250312_095922953</t>
  </si>
  <si>
    <t>Basler_acA720-520uc__40502463__20250312_100014682</t>
  </si>
  <si>
    <t>Basler_acA720-520uc__40502463__20250312_100038395</t>
  </si>
  <si>
    <t>Basler_acA720-520uc__40502463__20250312_100053442</t>
  </si>
  <si>
    <t>Basler_acA720-520uc__40502463__20250312_100227319</t>
  </si>
  <si>
    <t>Basler_acA720-520uc__40502463__20250312_100334846</t>
  </si>
  <si>
    <t>Basler_acA720-520uc__40502463__20250312_100411284</t>
  </si>
  <si>
    <t>Basler_acA720-520uc__40502463__20250312_100508072</t>
  </si>
  <si>
    <t>Basler_acA720-520uc__40502463__20250312_100545970</t>
  </si>
  <si>
    <t>Basler_acA720-520uc__40502463__20250312_100604511</t>
  </si>
  <si>
    <t>Basler_acA720-520uc__40502463__20250320_100445762</t>
  </si>
  <si>
    <t>Basler_acA720-520uc__40502463__20250320_100619002</t>
  </si>
  <si>
    <t>Basler_acA720-520uc__40502463__20250320_100903112</t>
  </si>
  <si>
    <t>Basler_acA720-520uc__40502463__20250320_101106628</t>
  </si>
  <si>
    <t>Basler_acA720-520uc__40502463__20250320_101545958</t>
  </si>
  <si>
    <t>Basler_acA720-520uc__40502463__20250320_101952879</t>
  </si>
  <si>
    <t>Basler_acA720-520uc__40502463__20250320_102342933</t>
  </si>
  <si>
    <t>Basler_acA720-520uc__40502463__20250326_101200711</t>
  </si>
  <si>
    <t>Basler_acA720-520uc__40502463__20250326_101341207</t>
  </si>
  <si>
    <t>Basler_acA720-520uc__40502463__20250326_101409322</t>
  </si>
  <si>
    <t>Basler_acA720-520uc__40502463__20250326_101512144</t>
  </si>
  <si>
    <t>Basler_acA720-520uc__40502463__20250326_101531246</t>
  </si>
  <si>
    <t>Basler_acA720-520uc__40502463__20250326_101556936</t>
  </si>
  <si>
    <t>Basler_acA720-520uc__40502463__20250326_101643693</t>
  </si>
  <si>
    <t>Basler_acA720-520uc__40502463__20250326_101734887</t>
  </si>
  <si>
    <t>Basler_acA720-520uc__40502463__20250326_101818626</t>
  </si>
  <si>
    <t>Basler_acA720-520uc__40502463__20250326_101837384</t>
  </si>
  <si>
    <t>Basler_acA720-520uc__40502463__20250326_101856851</t>
  </si>
  <si>
    <t>Basler_acA720-520uc__40502463__20250326_101930313</t>
  </si>
  <si>
    <t>Basler_acA720-520uc__40502463__20250326_102003022</t>
  </si>
  <si>
    <t>Basler_acA720-520uc__40502463__20250326_102037409</t>
  </si>
  <si>
    <t>Basler_acA720-520uc__40502463__20250326_102115646</t>
  </si>
  <si>
    <t>Basler_acA720-520uc__40502463__20250326_102206179</t>
  </si>
  <si>
    <t>Basler_acA720-520uc__40502463__20250326_102227762</t>
  </si>
  <si>
    <t>Basler_acA720-520uc__40502463__20250326_102238767</t>
  </si>
  <si>
    <t>Basler_acA720-520uc__40502463__20250326_102306644</t>
  </si>
  <si>
    <t>Basler_acA720-520uc__40502463__20250326_102344644</t>
  </si>
  <si>
    <t>Basler_acA720-520uc__40502463__20250326_102413691</t>
  </si>
  <si>
    <t>Basler_acA720-520uc__40502463__20250326_102455507</t>
  </si>
  <si>
    <t>Basler_acA720-520uc__40502463__20250326_102551473</t>
  </si>
  <si>
    <t>Basler_acA720-520uc__40502463__20250326_102632367</t>
  </si>
  <si>
    <t>Basler_acA720-520uc__40502463__20250326_102737711</t>
  </si>
  <si>
    <t>Basler_acA720-520uc__40502463__20250326_102805772</t>
  </si>
  <si>
    <t>Basler_acA720-520uc__40502463__20250326_102831301</t>
  </si>
  <si>
    <t>Basler_acA720-520uc__40502463__20250326_102902765</t>
  </si>
  <si>
    <t>Basler_acA720-520uc__40502463__20250326_102915158</t>
  </si>
  <si>
    <t>Basler_acA720-520uc__40502463__20250326_102943015</t>
  </si>
  <si>
    <t>Basler_acA720-520uc__40502463__20250326_103013281</t>
  </si>
  <si>
    <t>Basler_acA720-520uc__40502463__20250403_101727274</t>
  </si>
  <si>
    <t>Basler_acA720-520uc__40502463__20250403_101746256</t>
  </si>
  <si>
    <t>Basler_acA720-520uc__40502463__20250403_101813453</t>
  </si>
  <si>
    <t>Basler_acA720-520uc__40502463__20250403_101901339</t>
  </si>
  <si>
    <t>Basler_acA720-520uc__40502463__20250403_101922869</t>
  </si>
  <si>
    <t>Basler_acA720-520uc__40502463__20250403_102003213</t>
  </si>
  <si>
    <t>Basler_acA720-520uc__40502463__20250403_102031202</t>
  </si>
  <si>
    <t>Basler_acA720-520uc__40502463__20250403_102102025</t>
  </si>
  <si>
    <t>Basler_acA720-520uc__40502463__20250403_102126191</t>
  </si>
  <si>
    <t>Basler_acA720-520uc__40502463__20250403_102154085</t>
  </si>
  <si>
    <t>Basler_acA720-520uc__40502463__20250403_102232061</t>
  </si>
  <si>
    <t>Basler_acA720-520uc__40502463__20250403_102355316</t>
  </si>
  <si>
    <t>Basler_acA720-520uc__40502463__20250403_102551515</t>
  </si>
  <si>
    <t>Basler_acA720-520uc__40502463__20250403_102618090</t>
  </si>
  <si>
    <t>Basler_acA720-520uc__40502463__20250403_102643722</t>
  </si>
  <si>
    <t>Basler_acA720-520uc__40502463__20250403_102726689</t>
  </si>
  <si>
    <t>Basler_acA720-520uc__40502463__20250403_102806095</t>
  </si>
  <si>
    <t>Basler_acA720-520uc__40502463__20250403_103018611</t>
  </si>
  <si>
    <t>Basler_acA720-520uc__40502463__20250403_103511566</t>
  </si>
  <si>
    <t>Basler_acA720-520uc__40502463__20250403_103538772</t>
  </si>
  <si>
    <t>Basler_acA720-520uc__40502463__20250403_103607173</t>
  </si>
  <si>
    <t>Basler_acA720-520uc__40502463__20250403_103639926</t>
  </si>
  <si>
    <t>Basler_acA720-520uc__40502463__20250403_103827988</t>
  </si>
  <si>
    <t>Basler_acA720-520uc__40502463__20250403_103845934</t>
  </si>
  <si>
    <t>Basler_acA720-520uc__40502463__20250403_103956680</t>
  </si>
  <si>
    <t>Basler_acA720-520uc__40502463__20250403_104038428</t>
  </si>
  <si>
    <t>Basler_acA720-520uc__40502463__20250403_104130878</t>
  </si>
  <si>
    <t>Basler_acA720-520uc__40502463__20250403_104201342</t>
  </si>
  <si>
    <t>Basler_acA720-520uc__40502463__20250403_104254663</t>
  </si>
  <si>
    <t>Basler_acA720-520uc__40502463__20250403_104342388</t>
  </si>
  <si>
    <t>Basler_acA720-520uc__40502463__20250403_104534657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</si>
  <si>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</si>
  <si>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</si>
  <si>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</si>
  <si>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</si>
  <si>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</si>
  <si>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</si>
  <si>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</si>
  <si>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</si>
  <si>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</si>
  <si>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R3</t>
  </si>
  <si>
    <t>R2</t>
  </si>
  <si>
    <t>R1</t>
  </si>
  <si>
    <t>Rat 6</t>
  </si>
  <si>
    <t>Rat 7</t>
  </si>
  <si>
    <t>Rat 8</t>
  </si>
  <si>
    <t>Rat 9</t>
  </si>
  <si>
    <t>Rat 10</t>
  </si>
  <si>
    <t>Rat 11</t>
  </si>
  <si>
    <t>Rat 12</t>
  </si>
  <si>
    <t>Basler_acA720-520uc__40502463__20250401_101726260</t>
  </si>
  <si>
    <t>Basler_acA720-520uc__40502463__20250401_101752401</t>
  </si>
  <si>
    <t>Basler_acA720-520uc__40502463__20250401_101820941</t>
  </si>
  <si>
    <t>Basler_acA720-520uc__40502463__20250401_101851753</t>
  </si>
  <si>
    <t>Basler_acA720-520uc__40502463__20250401_101917960</t>
  </si>
  <si>
    <t>Basler_acA720-520uc__40502463__20250401_102105077</t>
  </si>
  <si>
    <t>Basler_acA720-520uc__40502463__20250401_102133479</t>
  </si>
  <si>
    <t>Basler_acA720-520uc__40502463__20250401_102220551</t>
  </si>
  <si>
    <t>Basler_acA720-520uc__40502463__20250401_102302242</t>
  </si>
  <si>
    <t>Basler_acA720-520uc__40502463__20250401_102327292</t>
  </si>
  <si>
    <t>Basler_acA720-520uc__40502463__20250401_102653290</t>
  </si>
  <si>
    <t>Basler_acA720-520uc__40502463__20250401_102808916</t>
  </si>
  <si>
    <t>Basler_acA720-520uc__40502463__20250401_102848716</t>
  </si>
  <si>
    <t>Basler_acA720-520uc__40502463__20250401_102956210</t>
  </si>
  <si>
    <t>Basler_acA720-520uc__40502463__20250401_103059367</t>
  </si>
  <si>
    <t>Basler_acA720-520uc__40502463__20250401_103224843</t>
  </si>
  <si>
    <t>Basler_acA720-520uc__40502463__20250401_103457449</t>
  </si>
  <si>
    <t>Basler_acA720-520uc__40502463__20250401_103624504</t>
  </si>
  <si>
    <t>Basler_acA720-520uc__40502463__20250401_103717537</t>
  </si>
  <si>
    <t>Basler_acA720-520uc__40502463__20250401_103741098</t>
  </si>
  <si>
    <t>Basler_acA720-520uc__40502463__20250401_103824501</t>
  </si>
  <si>
    <t>Basler_acA720-520uc__40502463__20250401_103942041</t>
  </si>
  <si>
    <t>Basler_acA720-520uc__40502463__20250401_104021691</t>
  </si>
  <si>
    <t>Basler_acA720-520uc__40502463__20250401_104056225</t>
  </si>
  <si>
    <t>Basler_acA720-520uc__40502463__20250401_104145421</t>
  </si>
  <si>
    <t>Basler_acA720-520uc__40502463__20250401_104243854</t>
  </si>
  <si>
    <t>Basler_acA720-520uc__40502463__20250401_104412132</t>
  </si>
  <si>
    <t>Basler_acA720-520uc__40502463__20250401_104441793</t>
  </si>
  <si>
    <t>Basler_acA720-520uc__40502463__20250401_104511218</t>
  </si>
  <si>
    <t>Basler_acA720-520uc__40502463__20250401_104558140</t>
  </si>
  <si>
    <t>Basler_acA720-520uc__40502463__20250401_104636404</t>
  </si>
  <si>
    <t>Basler_acA720-520uc__40502463__20250410_093803509</t>
  </si>
  <si>
    <t>Basler_acA720-520uc__40502463__20250410_093845047</t>
  </si>
  <si>
    <t>Basler_acA720-520uc__40502463__20250410_093934469</t>
  </si>
  <si>
    <t>Basler_acA720-520uc__40502463__20250410_094028950</t>
  </si>
  <si>
    <t>Basler_acA720-520uc__40502463__20250410_094121144</t>
  </si>
  <si>
    <t>Basler_acA720-520uc__40502463__20250410_094242064</t>
  </si>
  <si>
    <t>Basler_acA720-520uc__40502463__20250410_094332869</t>
  </si>
  <si>
    <t>Basler_acA720-520uc__40502463__20250410_094420284</t>
  </si>
  <si>
    <t>Basler_acA720-520uc__40502463__20250410_094504529</t>
  </si>
  <si>
    <t>Basler_acA720-520uc__40502463__20250410_094602941</t>
  </si>
  <si>
    <t>Basler_acA720-520uc__40502463__20250410_094619343</t>
  </si>
  <si>
    <t>Basler_acA720-520uc__40502463__20250410_094715512</t>
  </si>
  <si>
    <t>Basler_acA720-520uc__40502463__20250410_094847141</t>
  </si>
  <si>
    <t>Basler_acA720-520uc__40502463__20250410_094918766</t>
  </si>
  <si>
    <t>Basler_acA720-520uc__40502463__20250410_095016998</t>
  </si>
  <si>
    <t>Basler_acA720-520uc__40502463__20250410_095035419</t>
  </si>
  <si>
    <t>Basler_acA720-520uc__40502463__20250410_095109917</t>
  </si>
  <si>
    <t>Basler_acA720-520uc__40502463__20250410_095138865</t>
  </si>
  <si>
    <t>Basler_acA720-520uc__40502463__20250410_095206347</t>
  </si>
  <si>
    <t>Basler_acA720-520uc__40502463__20250410_095230935</t>
  </si>
  <si>
    <t>Basler_acA720-520uc__40502463__20250410_095249434</t>
  </si>
  <si>
    <t>Basler_acA720-520uc__40502463__20250410_095324092</t>
  </si>
  <si>
    <t>Basler_acA720-520uc__40502463__20250410_095341846</t>
  </si>
  <si>
    <t>Basler_acA720-520uc__40502463__20250410_095418643</t>
  </si>
  <si>
    <t>Basler_acA720-520uc__40502463__20250410_095510304</t>
  </si>
  <si>
    <t>Basler_acA720-520uc__40502463__20250410_095531322</t>
  </si>
  <si>
    <t>Basler_acA720-520uc__40502463__20250410_095553156</t>
  </si>
  <si>
    <t>Basler_acA720-520uc__40502463__20250410_095623632</t>
  </si>
  <si>
    <t>Basler_acA720-520uc__40502463__20250410_095707233</t>
  </si>
  <si>
    <t>Basler_acA720-520uc__40502463__20250410_095725221</t>
  </si>
  <si>
    <t>Total grasps</t>
  </si>
  <si>
    <t>Basler_acA720-520uc__40502463__20250507_094627168</t>
  </si>
  <si>
    <t>Basler_acA720-520uc__40502463__20250507_094927363</t>
  </si>
  <si>
    <t>Basler_acA720-520uc__40502463__20250507_095252698</t>
  </si>
  <si>
    <t>Basler_acA720-520uc__40502463__20250507_095338367</t>
  </si>
  <si>
    <t>Basler_acA720-520uc__40502463__20250507_095449561</t>
  </si>
  <si>
    <t>Basler_acA720-520uc__40502463__20250507_095513667</t>
  </si>
  <si>
    <t>Basler_acA720-520uc__40502463__20250507_095527402</t>
  </si>
  <si>
    <t>Basler_acA720-520uc__40502463__20250507_095609736</t>
  </si>
  <si>
    <t>Basler_acA720-520uc__40502463__20250507_095720587</t>
  </si>
  <si>
    <t>Basler_acA720-520uc__40502463__20250507_095738003</t>
  </si>
  <si>
    <t>Basler_acA720-520uc__40502463__20250507_100113128</t>
  </si>
  <si>
    <t>Basler_acA720-520uc__40502463__20250507_100206995</t>
  </si>
  <si>
    <t>Basler_acA720-520uc__40502463__20250507_100300825</t>
  </si>
  <si>
    <t>Basler_acA720-520uc__40502463__20250507_100402312</t>
  </si>
  <si>
    <t>Basler_acA720-520uc__40502463__20250507_100440970</t>
  </si>
  <si>
    <t>Basler_acA720-520uc__40502463__20250507_100455441</t>
  </si>
  <si>
    <t>Basler_acA720-520uc__40502463__20250507_100516044</t>
  </si>
  <si>
    <t>Basler_acA720-520uc__40502463__20250507_100529963</t>
  </si>
  <si>
    <t>Basler_acA720-520uc__40502463__20250507_100555387</t>
  </si>
  <si>
    <t>Basler_acA720-520uc__40502463__20250507_100604680</t>
  </si>
  <si>
    <t>Basler_acA720-520uc__40502463__20250507_100618679</t>
  </si>
  <si>
    <t>Basler_acA720-520uc__40502463__20250507_100627475</t>
  </si>
  <si>
    <t>Basler_acA720-520uc__40502463__20250507_100700612</t>
  </si>
  <si>
    <t>Basler_acA720-520uc__40502463__20250507_100736068</t>
  </si>
  <si>
    <t>Basler_acA720-520uc__40502463__20250507_100753984</t>
  </si>
  <si>
    <t>Basler_acA720-520uc__40502463__20250507_100804259</t>
  </si>
  <si>
    <t>Basler_acA720-520uc__40502463__20250507_100823869</t>
  </si>
  <si>
    <t>Basler_acA720-520uc__40502463__20250507_100847650</t>
  </si>
  <si>
    <t>Basler_acA720-520uc__40502463__20250507_100902611</t>
  </si>
  <si>
    <t>Basler_acA720-520uc__40502463__20250507_100914859</t>
  </si>
  <si>
    <t>Basler_acA720-520uc__40502463__20250515_095156411</t>
  </si>
  <si>
    <t>Basler_acA720-520uc__40502463__20250515_095400146</t>
  </si>
  <si>
    <t>Basler_acA720-520uc__40502463__20250515_095420590</t>
  </si>
  <si>
    <t>Basler_acA720-520uc__40502463__20250515_095446181</t>
  </si>
  <si>
    <t>Basler_acA720-520uc__40502463__20250515_095504228</t>
  </si>
  <si>
    <t>Basler_acA720-520uc__40502463__20250515_095551109</t>
  </si>
  <si>
    <t>Basler_acA720-520uc__40502463__20250515_095753069</t>
  </si>
  <si>
    <t>Basler_acA720-520uc__40502463__20250515_095846035</t>
  </si>
  <si>
    <t>Basler_acA720-520uc__40502463__20250515_100005979</t>
  </si>
  <si>
    <t>Basler_acA720-520uc__40502463__20250515_100134349</t>
  </si>
  <si>
    <t>Basler_acA720-520uc__40502463__20250515_100214514</t>
  </si>
  <si>
    <t>Basler_acA720-520uc__40502463__20250515_100250898</t>
  </si>
  <si>
    <t>Basler_acA720-520uc__40502463__20250515_100644398</t>
  </si>
  <si>
    <t>Basler_acA720-520uc__40502463__20250515_100831024</t>
  </si>
  <si>
    <t>Basler_acA720-520uc__40502463__20250515_100847149</t>
  </si>
  <si>
    <t>Basler_acA720-520uc__40502463__20250515_100953740</t>
  </si>
  <si>
    <t>Basler_acA720-520uc__40502463__20250515_101142409</t>
  </si>
  <si>
    <t>Basler_acA720-520uc__40502463__20250515_101312912</t>
  </si>
  <si>
    <t>Basler_acA720-520uc__40502463__20250515_101347051</t>
  </si>
  <si>
    <t>Basler_acA720-520uc__40502463__20250515_101431715</t>
  </si>
  <si>
    <t>Basler_acA720-520uc__40502463__20250515_101723945</t>
  </si>
  <si>
    <t>Basler_acA720-520uc__40502463__20250515_101901293</t>
  </si>
  <si>
    <t>Basler_acA720-520uc__40502463__20250515_101933414</t>
  </si>
  <si>
    <t>Basler_acA720-520uc__40502463__20250515_102100101</t>
  </si>
  <si>
    <t>Basler_acA720-520uc__40502463__20250515_102215274</t>
  </si>
  <si>
    <t>Basler_acA720-520uc__40502463__20250515_102458342</t>
  </si>
  <si>
    <t>Basler_acA720-520uc__40502463__20250515_102640170</t>
  </si>
  <si>
    <t>Basler_acA720-520uc__40502463__20250515_102835570</t>
  </si>
  <si>
    <t>Basler_acA720-520uc__40502463__20250515_102857478</t>
  </si>
  <si>
    <t>Basler_acA720-520uc__40502463__20250515_103149662</t>
  </si>
  <si>
    <t>Basler_acA720-520uc__40502463__20250522_085437808</t>
  </si>
  <si>
    <t>Basler_acA720-520uc__40502463__20250522_085522951</t>
  </si>
  <si>
    <t>Basler_acA720-520uc__40502463__20250522_085605699</t>
  </si>
  <si>
    <t>Basler_acA720-520uc__40502463__20250522_085638060</t>
  </si>
  <si>
    <t>Basler_acA720-520uc__40502463__20250522_085810723</t>
  </si>
  <si>
    <t>Basler_acA720-520uc__40502463__20250522_085858609</t>
  </si>
  <si>
    <t>Basler_acA720-520uc__40502463__20250522_085943084</t>
  </si>
  <si>
    <t>Basler_acA720-520uc__40502463__20250522_090136789</t>
  </si>
  <si>
    <t>Basler_acA720-520uc__40502463__20250522_090242207</t>
  </si>
  <si>
    <t>Basler_acA720-520uc__40502463__20250522_090324120</t>
  </si>
  <si>
    <t>Basler_acA720-520uc__40502463__20250522_090428132</t>
  </si>
  <si>
    <t>Basler_acA720-520uc__40502463__20250522_090527664</t>
  </si>
  <si>
    <t>Basler_acA720-520uc__40502463__20250522_090623356</t>
  </si>
  <si>
    <t>Basler_acA720-520uc__40502463__20250522_090820114</t>
  </si>
  <si>
    <t>Basler_acA720-520uc__40502463__20250522_090929484</t>
  </si>
  <si>
    <t>Basler_acA720-520uc__40502463__20250522_091025424</t>
  </si>
  <si>
    <t>Basler_acA720-520uc__40502463__20250522_091054815</t>
  </si>
  <si>
    <t>Basler_acA720-520uc__40502463__20250522_091125885</t>
  </si>
  <si>
    <t>Basler_acA720-520uc__40502463__20250522_091232648</t>
  </si>
  <si>
    <t>Basler_acA720-520uc__40502463__20250522_091600969</t>
  </si>
  <si>
    <t>Basler_acA720-520uc__40502463__20250522_091650846</t>
  </si>
  <si>
    <t>Basler_acA720-520uc__40502463__20250522_091756859</t>
  </si>
  <si>
    <t>Basler_acA720-520uc__40502463__20250522_091843956</t>
  </si>
  <si>
    <t>Basler_acA720-520uc__40502463__20250522_092009326</t>
  </si>
  <si>
    <t>Basler_acA720-520uc__40502463__20250522_092033360</t>
  </si>
  <si>
    <t>Basler_acA720-520uc__40502463__20250522_092132311</t>
  </si>
  <si>
    <t>Basler_acA720-520uc__40502463__20250522_092239792</t>
  </si>
  <si>
    <t>Basler_acA720-520uc__40502463__20250522_092649505</t>
  </si>
  <si>
    <t>Basler_acA720-520uc__40502463__20250522_092758652</t>
  </si>
  <si>
    <t>Basler_acA720-520uc__40502463__20250522_093150526</t>
  </si>
  <si>
    <t>Basler_acA720-520uc__40502463__20250514_095908557</t>
  </si>
  <si>
    <t>Basler_acA720-520uc__40502463__20250514_100127700</t>
  </si>
  <si>
    <t>Basler_acA720-520uc__40502463__20250514_100157763</t>
  </si>
  <si>
    <t>Basler_acA720-520uc__40502463__20250514_100241943</t>
  </si>
  <si>
    <t>Basler_acA720-520uc__40502463__20250514_100302699</t>
  </si>
  <si>
    <t>Basler_acA720-520uc__40502463__20250514_100334543</t>
  </si>
  <si>
    <t>Basler_acA720-520uc__40502463__20250514_100347884</t>
  </si>
  <si>
    <t>Basler_acA720-520uc__40502463__20250514_100541420</t>
  </si>
  <si>
    <t>Basler_acA720-520uc__40502463__20250514_100645045</t>
  </si>
  <si>
    <t>Basler_acA720-520uc__40502463__20250514_100707504</t>
  </si>
  <si>
    <t>Basler_acA720-520uc__40502463__20250514_100731166</t>
  </si>
  <si>
    <t>Basler_acA720-520uc__40502463__20250514_100751763</t>
  </si>
  <si>
    <t>Basler_acA720-520uc__40502463__20250514_100942113</t>
  </si>
  <si>
    <t>Basler_acA720-520uc__40502463__20250514_101144071</t>
  </si>
  <si>
    <t>Basler_acA720-520uc__40502463__20250514_101334017</t>
  </si>
  <si>
    <t>Basler_acA720-520uc__40502463__20250514_101603541</t>
  </si>
  <si>
    <t>Basler_acA720-520uc__40502463__20250514_101641249</t>
  </si>
  <si>
    <t>Basler_acA720-520uc__40502463__20250514_101709468</t>
  </si>
  <si>
    <t>Basler_acA720-520uc__40502463__20250514_101909530</t>
  </si>
  <si>
    <t>Basler_acA720-520uc__40502463__20250514_102224630</t>
  </si>
  <si>
    <t>Basler_acA720-520uc__40502463__20250514_102546010</t>
  </si>
  <si>
    <t>Basler_acA720-520uc__40502463__20250514_102944255</t>
  </si>
  <si>
    <t>Basler_acA720-520uc__40502463__20250514_103015417</t>
  </si>
  <si>
    <t>Basler_acA720-520uc__40502463__20250514_103036555</t>
  </si>
  <si>
    <t>Basler_acA720-520uc__40502463__20250514_103355315</t>
  </si>
  <si>
    <t>Basler_acA720-520uc__40502463__20250514_103623223</t>
  </si>
  <si>
    <t>Basler_acA720-520uc__40502463__20250514_103228385</t>
  </si>
  <si>
    <t>Rat 13</t>
  </si>
  <si>
    <t>Basler_acA720-520uc__40502463__20250618_095816536</t>
  </si>
  <si>
    <t>Basler_acA720-520uc__40502463__20250618_095924866</t>
  </si>
  <si>
    <t>Basler_acA720-520uc__40502463__20250618_100724180</t>
  </si>
  <si>
    <t>Basler_acA720-520uc__40502463__20250618_101553896</t>
  </si>
  <si>
    <t>Basler_acA720-520uc__40502463__20250618_102436991</t>
  </si>
  <si>
    <t>Basler_acA720-520uc__40502463__20250618_102459937</t>
  </si>
  <si>
    <t>Basler_acA720-520uc__40502463__20250618_102526366</t>
  </si>
  <si>
    <t>Basler_acA720-520uc__40502463__20250618_102537338</t>
  </si>
  <si>
    <t>Basler_acA720-520uc__40502463__20250618_102621308</t>
  </si>
  <si>
    <t>Basler_acA720-520uc__40502463__20250618_102648950</t>
  </si>
  <si>
    <t>Basler_acA720-520uc__40502463__20250618_102804505</t>
  </si>
  <si>
    <t>Basler_acA720-520uc__40502463__20250618_103902965</t>
  </si>
  <si>
    <t>Basler_acA720-520uc__40502463__20250618_104115160</t>
  </si>
  <si>
    <t>Basler_acA720-520uc__40502463__20250618_104157406</t>
  </si>
  <si>
    <t>Basler_acA720-520uc__40502463__20250618_104219775</t>
  </si>
  <si>
    <t>Basler_acA720-520uc__40502463__20250626_095749497</t>
  </si>
  <si>
    <t>Basler_acA720-520uc__40502463__20250626_100237619</t>
  </si>
  <si>
    <t>Basler_acA720-520uc__40502463__20250626_101909209</t>
  </si>
  <si>
    <t>Basler_acA720-520uc__40502463__20250626_102205788</t>
  </si>
  <si>
    <t>Basler_acA720-520uc__40502463__20250626_102251369</t>
  </si>
  <si>
    <t>Basler_acA720-520uc__40502463__20250626_102913558</t>
  </si>
  <si>
    <t>Basler_acA720-520uc__40502463__20250626_103051755</t>
  </si>
  <si>
    <t>Rat 14</t>
  </si>
  <si>
    <t>Basler_acA720-520uc__40502463__20250625_090120804</t>
  </si>
  <si>
    <t>Basler_acA720-520uc__40502463__20250625_090214167</t>
  </si>
  <si>
    <t>Basler_acA720-520uc__40502463__20250625_090256104</t>
  </si>
  <si>
    <t>Basler_acA720-520uc__40502463__20250625_090456066</t>
  </si>
  <si>
    <t>Basler_acA720-520uc__40502463__20250625_090622942</t>
  </si>
  <si>
    <t>Basler_acA720-520uc__40502463__20250625_090825697</t>
  </si>
  <si>
    <t>Basler_acA720-520uc__40502463__20250625_090930385</t>
  </si>
  <si>
    <t>Basler_acA720-520uc__40502463__20250625_091113509</t>
  </si>
  <si>
    <t>Basler_acA720-520uc__40502463__20250625_091253936</t>
  </si>
  <si>
    <t>Basler_acA720-520uc__40502463__20250625_091350352</t>
  </si>
  <si>
    <t>Basler_acA720-520uc__40502463__20250625_091427857</t>
  </si>
  <si>
    <t>Basler_acA720-520uc__40502463__20250625_091534660</t>
  </si>
  <si>
    <t>Basler_acA720-520uc__40502463__20250625_091719582</t>
  </si>
  <si>
    <t>Basler_acA720-520uc__40502463__20250625_091855460</t>
  </si>
  <si>
    <t>Basler_acA720-520uc__40502463__20250625_091938988</t>
  </si>
  <si>
    <t>Basler_acA720-520uc__40502463__20250625_092228731</t>
  </si>
  <si>
    <t>Basler_acA720-520uc__40502463__20250625_092308618</t>
  </si>
  <si>
    <t>Basler_acA720-520uc__40502463__20250625_092405294</t>
  </si>
  <si>
    <t>Basler_acA720-520uc__40502463__20250625_092516108</t>
  </si>
  <si>
    <t>Basler_acA720-520uc__40502463__20250625_092623817</t>
  </si>
  <si>
    <t>Basler_acA720-520uc__40502463__20250625_092716298</t>
  </si>
  <si>
    <t>Basler_acA720-520uc__40502463__20250625_092830915</t>
  </si>
  <si>
    <t>Basler_acA720-520uc__40502463__20250625_092948100</t>
  </si>
  <si>
    <t>Basler_acA720-520uc__40502463__20250625_093049033</t>
  </si>
  <si>
    <t>Basler_acA720-520uc__40502463__20250625_093146129</t>
  </si>
  <si>
    <t>Basler_acA720-520uc__40502463__20250625_093334654</t>
  </si>
  <si>
    <t>Basler_acA720-520uc__40502463__20250625_093425827</t>
  </si>
  <si>
    <t>Basler_acA720-520uc__40502463__20250625_093501053</t>
  </si>
  <si>
    <t>Basler_acA720-520uc__40502463__20250625_093558352</t>
  </si>
  <si>
    <r>
      <t>Basler_acA72</t>
    </r>
    <r>
      <rPr>
        <sz val="11"/>
        <rFont val="Aptos Narrow"/>
        <family val="2"/>
        <scheme val="minor"/>
      </rPr>
      <t>0-5</t>
    </r>
    <r>
      <rPr>
        <sz val="11"/>
        <color theme="1"/>
        <rFont val="Aptos Narrow"/>
        <family val="2"/>
        <scheme val="minor"/>
      </rPr>
      <t>20uc__40502463__20250625_090728474</t>
    </r>
  </si>
  <si>
    <t>Basler_acA720-520uc__40502463__20250703_093332513</t>
  </si>
  <si>
    <t>Basler_acA720-520uc__40502463__20250703_093412612</t>
  </si>
  <si>
    <t>Basler_acA720-520uc__40502463__20250703_093540614</t>
  </si>
  <si>
    <t>Basler_acA720-520uc__40502463__20250703_093636064</t>
  </si>
  <si>
    <t>Basler_acA720-520uc__40502463__20250703_093836700</t>
  </si>
  <si>
    <t>Basler_acA720-520uc__40502463__20250703_093953084</t>
  </si>
  <si>
    <t>Basler_acA720-520uc__40502463__20250703_094146587</t>
  </si>
  <si>
    <t>Basler_acA720-520uc__40502463__20250703_094312296</t>
  </si>
  <si>
    <t>Basler_acA720-520uc__40502463__20250703_094526797</t>
  </si>
  <si>
    <t>Basler_acA720-520uc__40502463__20250703_094614376</t>
  </si>
  <si>
    <t>Basler_acA720-520uc__40502463__20250703_094714936</t>
  </si>
  <si>
    <t>Basler_acA720-520uc__40502463__20250703_094756354</t>
  </si>
  <si>
    <t>Basler_acA720-520uc__40502463__20250703_094850449</t>
  </si>
  <si>
    <t>Basler_acA720-520uc__40502463__20250703_095013372</t>
  </si>
  <si>
    <t>Basler_acA720-520uc__40502463__20250703_095103826</t>
  </si>
  <si>
    <t>Basler_acA720-520uc__40502463__20250703_095151818</t>
  </si>
  <si>
    <t>Basler_acA720-520uc__40502463__20250703_095252348</t>
  </si>
  <si>
    <t>Basler_acA720-520uc__40502463__20250703_095330081</t>
  </si>
  <si>
    <t>Basler_acA720-520uc__40502463__20250703_095417160</t>
  </si>
  <si>
    <t>Basler_acA720-520uc__40502463__20250703_095517530</t>
  </si>
  <si>
    <t>Basler_acA720-520uc__40502463__20250703_095642397</t>
  </si>
  <si>
    <t>Basler_acA720-520uc__40502463__20250703_095737899</t>
  </si>
  <si>
    <t>Basler_acA720-520uc__40502463__20250703_095823355</t>
  </si>
  <si>
    <t>Basler_acA720-520uc__40502463__20250703_095902176</t>
  </si>
  <si>
    <t>Basler_acA720-520uc__40502463__20250703_095953481</t>
  </si>
  <si>
    <t>Basler_acA720-520uc__40502463__20250703_100038568</t>
  </si>
  <si>
    <t>Basler_acA720-520uc__40502463__20250703_100140592</t>
  </si>
  <si>
    <t>Basler_acA720-520uc__40502463__20250703_100233932</t>
  </si>
  <si>
    <t>Basler_acA720-520uc__40502463__20250703_100320024</t>
  </si>
  <si>
    <t>Rat 15</t>
  </si>
  <si>
    <t>Basler_acA720-520uc__40502463__20250702_090134846</t>
  </si>
  <si>
    <t>Basler_acA720-520uc__40502463__20250702_090210631</t>
  </si>
  <si>
    <t>Basler_acA720-520uc__40502463__20250702_090238691</t>
  </si>
  <si>
    <t>Basler_acA720-520uc__40502463__20250702_090329648</t>
  </si>
  <si>
    <t>Basler_acA720-520uc__40502463__20250702_090507921</t>
  </si>
  <si>
    <t>Basler_acA720-520uc__40502463__20250702_090648397</t>
  </si>
  <si>
    <t>Basler_acA720-520uc__40502463__20250702_090718371</t>
  </si>
  <si>
    <t>Basler_acA720-520uc__40502463__20250702_090816927</t>
  </si>
  <si>
    <t>Basler_acA720-520uc__40502463__20250702_090838556</t>
  </si>
  <si>
    <t>Basler_acA720-520uc__40502463__20250702_090922437</t>
  </si>
  <si>
    <t>Basler_acA720-520uc__40502463__20250702_091008450</t>
  </si>
  <si>
    <t>Basler_acA720-520uc__40502463__20250702_091237613</t>
  </si>
  <si>
    <t>Basler_acA720-520uc__40502463__20250702_091322699</t>
  </si>
  <si>
    <t>Basler_acA720-520uc__40502463__20250702_091352460</t>
  </si>
  <si>
    <t>Basler_acA720-520uc__40502463__20250702_091437784</t>
  </si>
  <si>
    <t>Basler_acA720-520uc__40502463__20250702_091602072</t>
  </si>
  <si>
    <t>Basler_acA720-520uc__40502463__20250702_091734503</t>
  </si>
  <si>
    <t>Basler_acA720-520uc__40502463__20250702_092014658</t>
  </si>
  <si>
    <t>Basler_acA720-520uc__40502463__20250702_092046810</t>
  </si>
  <si>
    <t>Basler_acA720-520uc__40502463__20250702_092206284</t>
  </si>
  <si>
    <t>Basler_acA720-520uc__40502463__20250702_092553874</t>
  </si>
  <si>
    <t>Basler_acA720-520uc__40502463__20250702_092621464</t>
  </si>
  <si>
    <t>Basler_acA720-520uc__40502463__20250702_092726782</t>
  </si>
  <si>
    <t>Basler_acA720-520uc__40502463__20250702_092914021</t>
  </si>
  <si>
    <t>Basler_acA720-520uc__40502463__20250702_093009635</t>
  </si>
  <si>
    <t>Basler_acA720-520uc__40502463__20250702_093125359</t>
  </si>
  <si>
    <t>Basler_acA720-520uc__40502463__20250702_093356000</t>
  </si>
  <si>
    <t>Basler_acA720-520uc__40502463__20250702_093439336</t>
  </si>
  <si>
    <t>Basler_acA720-520uc__40502463__20250702_093630854</t>
  </si>
  <si>
    <t>Basler_acA720-520uc__40502463__20250702_093703306</t>
  </si>
  <si>
    <t>Rat 16</t>
  </si>
  <si>
    <t>Basler_acA720-520uc__40502463__20250709_090107236</t>
  </si>
  <si>
    <t>Basler_acA720-520uc__40502463__20250709_090130704</t>
  </si>
  <si>
    <t>Basler_acA720-520uc__40502463__20250709_090152209</t>
  </si>
  <si>
    <t>Basler_acA720-520uc__40502463__20250709_090226242</t>
  </si>
  <si>
    <t>Basler_acA720-520uc__40502463__20250709_090249008</t>
  </si>
  <si>
    <t>Basler_acA720-520uc__40502463__20250709_090312677</t>
  </si>
  <si>
    <t>Basler_acA720-520uc__40502463__20250709_090332420</t>
  </si>
  <si>
    <t>Basler_acA720-520uc__40502463__20250709_090350764</t>
  </si>
  <si>
    <t>Basler_acA720-520uc__40502463__20250709_090448297</t>
  </si>
  <si>
    <t>Basler_acA720-520uc__40502463__20250709_090516980</t>
  </si>
  <si>
    <t>Basler_acA720-520uc__40502463__20250709_090532633</t>
  </si>
  <si>
    <t>Basler_acA720-520uc__40502463__20250709_090603180</t>
  </si>
  <si>
    <t>Basler_acA720-520uc__40502463__20250709_090624980</t>
  </si>
  <si>
    <t>Basler_acA720-520uc__40502463__20250709_090649483</t>
  </si>
  <si>
    <t>Basler_acA720-520uc__40502463__20250709_090705065</t>
  </si>
  <si>
    <t>Basler_acA720-520uc__40502463__20250709_090723259</t>
  </si>
  <si>
    <t>Basler_acA720-520uc__40502463__20250709_090753767</t>
  </si>
  <si>
    <t>Basler_acA720-520uc__40502463__20250709_090813933</t>
  </si>
  <si>
    <t>Basler_acA720-520uc__40502463__20250709_090853679</t>
  </si>
  <si>
    <t>Basler_acA720-520uc__40502463__20250709_090910472</t>
  </si>
  <si>
    <t>Basler_acA720-520uc__40502463__20250709_090930499</t>
  </si>
  <si>
    <t>Basler_acA720-520uc__40502463__20250709_091022980</t>
  </si>
  <si>
    <t>Basler_acA720-520uc__40502463__20250709_091046235</t>
  </si>
  <si>
    <t>Basler_acA720-520uc__40502463__20250709_091118038</t>
  </si>
  <si>
    <t>Basler_acA720-520uc__40502463__20250709_091138974</t>
  </si>
  <si>
    <t>Basler_acA720-520uc__40502463__20250709_091159561</t>
  </si>
  <si>
    <t>Basler_acA720-520uc__40502463__20250709_091319902</t>
  </si>
  <si>
    <t>Basler_acA720-520uc__40502463__20250709_091357264</t>
  </si>
  <si>
    <t>Basler_acA720-520uc__40502463__20250709_091533367</t>
  </si>
  <si>
    <t>Basler_acA720-520uc__40502463__20250709_091557233</t>
  </si>
  <si>
    <t>Basler_acA720-520uc__40502463__20250717_093910399</t>
  </si>
  <si>
    <t>Basler_acA720-520uc__40502463__20250717_093928224</t>
  </si>
  <si>
    <t>Basler_acA720-520uc__40502463__20250717_093946437</t>
  </si>
  <si>
    <t>Basler_acA720-520uc__40502463__20250717_094001713</t>
  </si>
  <si>
    <t>Basler_acA720-520uc__40502463__20250717_094028708</t>
  </si>
  <si>
    <t>Basler_acA720-520uc__40502463__20250717_094056893</t>
  </si>
  <si>
    <t>Basler_acA720-520uc__40502463__20250717_094117160</t>
  </si>
  <si>
    <t>Basler_acA720-520uc__40502463__20250717_094136730</t>
  </si>
  <si>
    <t>Basler_acA720-520uc__40502463__20250717_094154066</t>
  </si>
  <si>
    <t>Basler_acA720-520uc__40502463__20250717_094229535</t>
  </si>
  <si>
    <t>Basler_acA720-520uc__40502463__20250717_094249867</t>
  </si>
  <si>
    <t>Basler_acA720-520uc__40502463__20250717_094312399</t>
  </si>
  <si>
    <t>Basler_acA720-520uc__40502463__20250717_094335711</t>
  </si>
  <si>
    <t>Basler_acA720-520uc__40502463__20250717_094350760</t>
  </si>
  <si>
    <t>Basler_acA720-520uc__40502463__20250717_094413954</t>
  </si>
  <si>
    <t>Basler_acA720-520uc__40502463__20250717_094439126</t>
  </si>
  <si>
    <t>Basler_acA720-520uc__40502463__20250717_094453775</t>
  </si>
  <si>
    <t>Basler_acA720-520uc__40502463__20250717_094523294</t>
  </si>
  <si>
    <t>Basler_acA720-520uc__40502463__20250717_094546813</t>
  </si>
  <si>
    <t>Basler_acA720-520uc__40502463__20250717_094602246</t>
  </si>
  <si>
    <t>Basler_acA720-520uc__40502463__20250717_094621205</t>
  </si>
  <si>
    <t>Basler_acA720-520uc__40502463__20250717_094636539</t>
  </si>
  <si>
    <t>Basler_acA720-520uc__40502463__20250717_094700612</t>
  </si>
  <si>
    <t>Basler_acA720-520uc__40502463__20250717_094714736</t>
  </si>
  <si>
    <t>Basler_acA720-520uc__40502463__20250717_094735856</t>
  </si>
  <si>
    <t>Basler_acA720-520uc__40502463__20250717_094748239</t>
  </si>
  <si>
    <t>Basler_acA720-520uc__40502463__20250717_094800670</t>
  </si>
  <si>
    <t>Basler_acA720-520uc__40502463__20250717_094811215</t>
  </si>
  <si>
    <t>Basler_acA720-520uc__40502463__20250717_094826303</t>
  </si>
  <si>
    <t>Basler_acA720-520uc__40502463__20250717_094904006</t>
  </si>
  <si>
    <t>Rat 17</t>
  </si>
  <si>
    <t>Rat 18</t>
  </si>
  <si>
    <t>R17</t>
  </si>
  <si>
    <t>R18</t>
  </si>
  <si>
    <t>R19</t>
  </si>
  <si>
    <t>Time stamp</t>
  </si>
  <si>
    <t>F</t>
  </si>
  <si>
    <t>M</t>
  </si>
  <si>
    <t>Blinding_group</t>
  </si>
  <si>
    <t>Stroke_status</t>
  </si>
  <si>
    <t>Rat_number</t>
  </si>
  <si>
    <t>Basler_acA720-520uc__40502463__20250321_112647342</t>
  </si>
  <si>
    <t>Basler_acA720-520uc__40502463__20250321_112702094</t>
  </si>
  <si>
    <t>Basler_acA720-520uc__40502463__20250321_112720933</t>
  </si>
  <si>
    <t>Basler_acA720-520uc__40502463__20250321_112748221</t>
  </si>
  <si>
    <t>Basler_acA720-520uc__40502463__20250321_112831095</t>
  </si>
  <si>
    <t>Basler_acA720-520uc__40502463__20250321_112904940</t>
  </si>
  <si>
    <t>Basler_acA720-520uc__40502463__20250321_112927083</t>
  </si>
  <si>
    <t>Basler_acA720-520uc__40502463__20250321_113006128</t>
  </si>
  <si>
    <t>Basler_acA720-520uc__40502463__20250321_113018228</t>
  </si>
  <si>
    <t>Basler_acA720-520uc__40502463__20250321_113103999</t>
  </si>
  <si>
    <t>Basler_acA720-520uc__40502463__20250321_113126887</t>
  </si>
  <si>
    <t>Basler_acA720-520uc__40502463__20250321_113147221</t>
  </si>
  <si>
    <t>Basler_acA720-520uc__40502463__20250321_113253251</t>
  </si>
  <si>
    <t>Basler_acA720-520uc__40502463__20250321_113303858</t>
  </si>
  <si>
    <t>Basler_acA720-520uc__40502463__20250321_113325516</t>
  </si>
  <si>
    <t>Basler_acA720-520uc__40502463__20250321_113401306</t>
  </si>
  <si>
    <t>Basler_acA720-520uc__40502463__20250321_113455327</t>
  </si>
  <si>
    <t>Basler_acA720-520uc__40502463__20250321_113523701</t>
  </si>
  <si>
    <t>Basler_acA720-520uc__40502463__20250321_113542058</t>
  </si>
  <si>
    <t>Basler_acA720-520uc__40502463__20250321_113900931</t>
  </si>
  <si>
    <t>Basler_acA720-520uc__40502463__20250321_113925216</t>
  </si>
  <si>
    <t>Basler_acA720-520uc__40502463__20250321_113947801</t>
  </si>
  <si>
    <t>Basler_acA720-520uc__40502463__20250321_114009418</t>
  </si>
  <si>
    <t>Basler_acA720-520uc__40502463__20250321_114036697</t>
  </si>
  <si>
    <t>Basler_acA720-520uc__40502463__20250321_114103646</t>
  </si>
  <si>
    <t>Basler_acA720-520uc__40502463__20250321_114120041</t>
  </si>
  <si>
    <t>Basler_acA720-520uc__40502463__20250321_114200800</t>
  </si>
  <si>
    <t>Basler_acA720-520uc__40502463__20250321_114225070</t>
  </si>
  <si>
    <t>Basler_acA720-520uc__40502463__20250321_114241884</t>
  </si>
  <si>
    <t>R20</t>
  </si>
  <si>
    <t>Basler_acA720-520uc__40502463__20250327_095926661</t>
  </si>
  <si>
    <t>Basler_acA720-520uc__40502463__20250327_100012178</t>
  </si>
  <si>
    <t>Basler_acA720-520uc__40502463__20250327_100040222</t>
  </si>
  <si>
    <t>Basler_acA720-520uc__40502463__20250327_100116403</t>
  </si>
  <si>
    <t>Basler_acA720-520uc__40502463__20250327_100237566</t>
  </si>
  <si>
    <t>Basler_acA720-520uc__40502463__20250327_100302850</t>
  </si>
  <si>
    <t>Basler_acA720-520uc__40502463__20250327_100331285</t>
  </si>
  <si>
    <t>Basler_acA720-520uc__40502463__20250327_100354649</t>
  </si>
  <si>
    <t>Basler_acA720-520uc__40502463__20250327_101127548</t>
  </si>
  <si>
    <t>Basler_acA720-520uc__40502463__20250327_101214412</t>
  </si>
  <si>
    <t>Basler_acA720-520uc__40502463__20250327_101605797</t>
  </si>
  <si>
    <t>Basler_acA720-520uc__40502463__20250327_101831996</t>
  </si>
  <si>
    <t>Basler_acA720-520uc__40502463__20250327_102118184</t>
  </si>
  <si>
    <t>Basler_acA720-520uc__40502463__20250327_102134030</t>
  </si>
  <si>
    <t>Basler_acA720-520uc__40502463__20250327_102150580</t>
  </si>
  <si>
    <t>Basler_acA720-520uc__40502463__20250327_102215206</t>
  </si>
  <si>
    <t>Basler_acA720-520uc__40502463__20250327_102241981</t>
  </si>
  <si>
    <t>Basler_acA720-520uc__40502463__20250327_102259822</t>
  </si>
  <si>
    <t>Basler_acA720-520uc__40502463__20250327_102320036</t>
  </si>
  <si>
    <t>Basler_acA720-520uc__40502463__20250327_102332674</t>
  </si>
  <si>
    <t>Basler_acA720-520uc__40502463__20250327_102405096</t>
  </si>
  <si>
    <t>Basler_acA720-520uc__40502463__20250327_102445028</t>
  </si>
  <si>
    <t>Basler_acA720-520uc__40502463__20250327_102504829</t>
  </si>
  <si>
    <t>Basler_acA720-520uc__40502463__20250327_102620309</t>
  </si>
  <si>
    <t>Basler_acA720-520uc__40502463__20250327_102638312</t>
  </si>
  <si>
    <t>Basler_acA720-520uc__40502463__20250327_102654898</t>
  </si>
  <si>
    <t>Basler_acA720-520uc__40502463__20250327_102728838</t>
  </si>
  <si>
    <t>Basler_acA720-520uc__40502463__20250327_102759976</t>
  </si>
  <si>
    <t>Basler_acA720-520uc__40502463__20250327_102832439</t>
  </si>
  <si>
    <t>Basler_acA720-520uc__40502463__20250327_102911805</t>
  </si>
  <si>
    <t>Basler_acA720-520uc__40502463__20250820_092802077</t>
  </si>
  <si>
    <t>Basler_acA720-520uc__40502463__20250820_092731846</t>
  </si>
  <si>
    <t>Basler_acA720-520uc__40502463__20250820_092658518</t>
  </si>
  <si>
    <t>Basler_acA720-520uc__40502463__20250820_092604816</t>
  </si>
  <si>
    <t>Basler_acA720-520uc__40502463__20250820_092345399</t>
  </si>
  <si>
    <t>Basler_acA720-520uc__40502463__20250820_092217304</t>
  </si>
  <si>
    <t>Basler_acA720-520uc__40502463__20250820_092034575</t>
  </si>
  <si>
    <t>Basler_acA720-520uc__40502463__20250820_091902548</t>
  </si>
  <si>
    <t>Basler_acA720-520uc__40502463__20250820_091723559</t>
  </si>
  <si>
    <t>Basler_acA720-520uc__40502463__20250820_091646121</t>
  </si>
  <si>
    <t>Basler_acA720-520uc__40502463__20250820_091512121</t>
  </si>
  <si>
    <t>Basler_acA720-520uc__40502463__20250820_091425739</t>
  </si>
  <si>
    <t>Basler_acA720-520uc__40502463__20250820_091054182</t>
  </si>
  <si>
    <t>Basler_acA720-520uc__40502463__20250820_090903704</t>
  </si>
  <si>
    <t>Basler_acA720-520uc__40502463__20250820_090707706</t>
  </si>
  <si>
    <t>Basler_acA720-520uc__40502463__20250820_090632842</t>
  </si>
  <si>
    <t>Basler_acA720-520uc__40502463__20250820_090321152</t>
  </si>
  <si>
    <t>Basler_acA720-520uc__40502463__20250820_090059918</t>
  </si>
  <si>
    <t>Basler_acA720-520uc__40502463__20250820_085819268</t>
  </si>
  <si>
    <t>Basler_acA720-520uc__40502463__20250820_085700389</t>
  </si>
  <si>
    <t>Basler_acA720-520uc__40502463__20250820_085543304</t>
  </si>
  <si>
    <t>Basler_acA720-520uc__40502463__20250820_085508309</t>
  </si>
  <si>
    <t>Basler_acA720-520uc__40502463__20250820_085342096</t>
  </si>
  <si>
    <t>Basler_acA720-520uc__40502463__20250820_085222880</t>
  </si>
  <si>
    <t>Basler_acA720-520uc__40502463__20250820_085039586</t>
  </si>
  <si>
    <t>Basler_acA720-520uc__40502463__20250820_085003901</t>
  </si>
  <si>
    <t>Basler_acA720-520uc__40502463__20250820_084923801</t>
  </si>
  <si>
    <t>Basler_acA720-520uc__40502463__20250820_084845498</t>
  </si>
  <si>
    <t>Basler_acA720-520uc__40502463__20250820_084809283</t>
  </si>
  <si>
    <t>Basler_acA720-520uc__40502463__20250820_084738071</t>
  </si>
  <si>
    <t>Basler_acA720-520uc__40502463__20250820_084334946</t>
  </si>
  <si>
    <t>Basler_acA720-520uc__40502463__20250828_091016865</t>
  </si>
  <si>
    <t>Basler_acA720-520uc__40502463__20250828_091043879</t>
  </si>
  <si>
    <t>Basler_acA720-520uc__40502463__20250828_091138202</t>
  </si>
  <si>
    <t>Basler_acA720-520uc__40502463__20250828_091257386</t>
  </si>
  <si>
    <t>Basler_acA720-520uc__40502463__20250828_091417088</t>
  </si>
  <si>
    <t>Basler_acA720-520uc__40502463__20250828_091607105</t>
  </si>
  <si>
    <t>Basler_acA720-520uc__40502463__20250828_091704898</t>
  </si>
  <si>
    <t>Basler_acA720-520uc__40502463__20250828_091837269</t>
  </si>
  <si>
    <t>Basler_acA720-520uc__40502463__20250828_092031304</t>
  </si>
  <si>
    <t>Basler_acA720-520uc__40502463__20250828_092107525</t>
  </si>
  <si>
    <t>Basler_acA720-520uc__40502463__20250828_092239649</t>
  </si>
  <si>
    <t>Basler_acA720-520uc__40502463__20250828_092335215</t>
  </si>
  <si>
    <t>Basler_acA720-520uc__40502463__20250828_092445616</t>
  </si>
  <si>
    <t>Basler_acA720-520uc__40502463__20250828_092531563</t>
  </si>
  <si>
    <t>Basler_acA720-520uc__40502463__20250828_092626671</t>
  </si>
  <si>
    <t>Basler_acA720-520uc__40502463__20250828_092825661</t>
  </si>
  <si>
    <t>Basler_acA720-520uc__40502463__20250828_093002641</t>
  </si>
  <si>
    <t>Basler_acA720-520uc__40502463__20250828_093119007</t>
  </si>
  <si>
    <t>Basler_acA720-520uc__40502463__20250828_093205008</t>
  </si>
  <si>
    <t>Basler_acA720-520uc__40502463__20250828_093240260</t>
  </si>
  <si>
    <t>Basler_acA720-520uc__40502463__20250828_093347518</t>
  </si>
  <si>
    <t>Basler_acA720-520uc__40502463__20250828_093420350</t>
  </si>
  <si>
    <t>Basler_acA720-520uc__40502463__20250828_093522923</t>
  </si>
  <si>
    <t>Basler_acA720-520uc__40502463__20250828_093622044</t>
  </si>
  <si>
    <t>Basler_acA720-520uc__40502463__20250828_093745688</t>
  </si>
  <si>
    <t>Basler_acA720-520uc__40502463__20250828_093829302</t>
  </si>
  <si>
    <t>Basler_acA720-520uc__40502463__20250828_093920851</t>
  </si>
  <si>
    <t>Basler_acA720-520uc__40502463__20250828_094001380</t>
  </si>
  <si>
    <t>First trial success_ALL</t>
  </si>
  <si>
    <t>Total success_ALL</t>
  </si>
  <si>
    <t>Total pellet to box_ALL</t>
  </si>
  <si>
    <t>Total fail_ALL</t>
  </si>
  <si>
    <t>Total grasps_ALL</t>
  </si>
  <si>
    <t>PRES</t>
  </si>
  <si>
    <t>Rat 20</t>
  </si>
  <si>
    <t>Basler_acA720-520uc__40502463__20250903_085802137</t>
  </si>
  <si>
    <t>Basler_acA720-520uc__40502463__20250903_090114901</t>
  </si>
  <si>
    <t>Basler_acA720-520uc__40502463__20250903_090141391</t>
  </si>
  <si>
    <t>Basler_acA720-520uc__40502463__20250903_090210613</t>
  </si>
  <si>
    <t>Basler_acA720-520uc__40502463__20250903_090254501</t>
  </si>
  <si>
    <t>Basler_acA720-520uc__40502463__20250903_090317725</t>
  </si>
  <si>
    <t>Basler_acA720-520uc__40502463__20250903_090415591</t>
  </si>
  <si>
    <t>Basler_acA720-520uc__40502463__20250903_090452737</t>
  </si>
  <si>
    <t>Basler_acA720-520uc__40502463__20250903_090513230</t>
  </si>
  <si>
    <t>Basler_acA720-520uc__40502463__20250903_090540304</t>
  </si>
  <si>
    <t>Basler_acA720-520uc__40502463__20250903_090605971</t>
  </si>
  <si>
    <t>Basler_acA720-520uc__40502463__20250903_090718034</t>
  </si>
  <si>
    <t>Basler_acA720-520uc__40502463__20250903_090836448</t>
  </si>
  <si>
    <t>Basler_acA720-520uc__40502463__20250903_090915375</t>
  </si>
  <si>
    <t>Basler_acA720-520uc__40502463__20250903_091001414</t>
  </si>
  <si>
    <t>Basler_acA720-520uc__40502463__20250903_091033644</t>
  </si>
  <si>
    <t>Basler_acA720-520uc__40502463__20250903_091059226</t>
  </si>
  <si>
    <t>Basler_acA720-520uc__40502463__20250903_091124232</t>
  </si>
  <si>
    <t>Basler_acA720-520uc__40502463__20250903_091144481</t>
  </si>
  <si>
    <t>Basler_acA720-520uc__40502463__20250903_091218614</t>
  </si>
  <si>
    <t>Basler_acA720-520uc__40502463__20250903_091249658</t>
  </si>
  <si>
    <t>Basler_acA720-520uc__40502463__20250903_091314750</t>
  </si>
  <si>
    <t>Basler_acA720-520uc__40502463__20250903_091352397</t>
  </si>
  <si>
    <t>Basler_acA720-520uc__40502463__20250903_091410857</t>
  </si>
  <si>
    <t>Basler_acA720-520uc__40502463__20250903_091428377</t>
  </si>
  <si>
    <t>Basler_acA720-520uc__40502463__20250903_091542119</t>
  </si>
  <si>
    <t>Basler_acA720-520uc__40502463__20250903_091632085</t>
  </si>
  <si>
    <t>Basler_acA720-520uc__40502463__20250903_091659010</t>
  </si>
  <si>
    <t>Basler_acA720-520uc__40502463__20250903_091726978</t>
  </si>
  <si>
    <t>Basler_acA720-520uc__40502463__20250903_091747547</t>
  </si>
  <si>
    <t>Basler_acA720-520uc__40502463__20250911_092542786</t>
  </si>
  <si>
    <t>Basler_acA720-520uc__40502463__20250911_092605117</t>
  </si>
  <si>
    <t>Basler_acA720-520uc__40502463__20250911_092630777</t>
  </si>
  <si>
    <t>Basler_acA720-520uc__40502463__20250911_092649952</t>
  </si>
  <si>
    <t>Basler_acA720-520uc__40502463__20250911_092714704</t>
  </si>
  <si>
    <t>Basler_acA720-520uc__40502463__20250911_092737707</t>
  </si>
  <si>
    <t>Basler_acA720-520uc__40502463__20250911_092840977</t>
  </si>
  <si>
    <t>Basler_acA720-520uc__40502463__20250911_092914696</t>
  </si>
  <si>
    <t>Basler_acA720-520uc__40502463__20250911_093014052</t>
  </si>
  <si>
    <t>Basler_acA720-520uc__40502463__20250911_093230568</t>
  </si>
  <si>
    <t>Basler_acA720-520uc__40502463__20250911_093439677</t>
  </si>
  <si>
    <t>Basler_acA720-520uc__40502463__20250911_093513473</t>
  </si>
  <si>
    <t>Basler_acA720-520uc__40502463__20250911_093637892</t>
  </si>
  <si>
    <t>Basler_acA720-520uc__40502463__20250911_093836575</t>
  </si>
  <si>
    <t>Basler_acA720-520uc__40502463__20250911_093941855</t>
  </si>
  <si>
    <t>Basler_acA720-520uc__40502463__20250911_094220365</t>
  </si>
  <si>
    <t>Basler_acA720-520uc__40502463__20250911_094513862</t>
  </si>
  <si>
    <t>Basler_acA720-520uc__40502463__20250911_094642288</t>
  </si>
  <si>
    <t>Basler_acA720-520uc__40502463__20250911_095108281</t>
  </si>
  <si>
    <t>Basler_acA720-520uc__40502463__20250911_095309931</t>
  </si>
  <si>
    <t>Basler_acA720-520uc__40502463__20250911_095357608</t>
  </si>
  <si>
    <t>Basler_acA720-520uc__40502463__20250911_095427260</t>
  </si>
  <si>
    <t>Basler_acA720-520uc__40502463__20250911_095450028</t>
  </si>
  <si>
    <t>Basler_acA720-520uc__40502463__20250911_095529896</t>
  </si>
  <si>
    <t>Basler_acA720-520uc__40502463__20250911_100004304</t>
  </si>
  <si>
    <t>Basler_acA720-520uc__40502463__20250911_100030063</t>
  </si>
  <si>
    <t>Basler_acA720-520uc__40502463__20250911_100219787</t>
  </si>
  <si>
    <t>Basler_acA720-520uc__40502463__20250911_100243604</t>
  </si>
  <si>
    <t>Basler_acA720-520uc__40502463__20250911_100351461</t>
  </si>
  <si>
    <t>Basler_acA720-520uc__40502463__20250911_100427992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</si>
</sst>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7" borderId="0" xfId="0" applyFont="1" applyFill="1"/>
    <xf numFmtId="0" fontId="0" fillId="6" borderId="0" xfId="0" applyFill="1"/>
    <xf numFmtId="21" fontId="0" fillId="0" borderId="0" xfId="0" applyNumberFormat="1"/>
    <xf numFmtId="0" fontId="0" fillId="0" borderId="0" xfId="0" applyFill="1"/>
  </cellXfs>
  <cellStyles count="1">
    <cellStyle name="Standaard" xfId="0" builtinId="0"/>
  </cellStyles>
  <dxfs count="16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649A-D098-4C08-B114-4EA4A50DDF16}">
  <dimension ref="A1"/>
  <sheetViews>
    <sheetView workbookViewId="0">
      <selection activeCell="D11" sqref="D1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A51E-B86C-4A41-B310-48186C187363}">
  <dimension ref="A1:T41"/>
  <sheetViews>
    <sheetView tabSelected="1" topLeftCell="J31" workbookViewId="0">
      <selection activeCell="T42" sqref="T42"/>
    </sheetView>
  </sheetViews>
  <sheetFormatPr defaultRowHeight="14.5" x14ac:dyDescent="0.35"/>
  <cols>
    <col min="1" max="1" width="6.81640625" bestFit="1" customWidth="1"/>
    <col min="2" max="2" width="10.54296875" bestFit="1" customWidth="1"/>
    <col min="3" max="3" width="11.90625" bestFit="1" customWidth="1"/>
    <col min="4" max="4" width="13.7265625" bestFit="1" customWidth="1"/>
    <col min="5" max="5" width="6.7265625" bestFit="1" customWidth="1"/>
    <col min="6" max="6" width="7" bestFit="1" customWidth="1"/>
    <col min="7" max="7" width="3.81640625" bestFit="1" customWidth="1"/>
    <col min="8" max="8" width="13" bestFit="1" customWidth="1"/>
    <col min="9" max="9" width="10.81640625" bestFit="1" customWidth="1"/>
    <col min="10" max="10" width="17.81640625" bestFit="1" customWidth="1"/>
    <col min="11" max="11" width="20.26953125" bestFit="1" customWidth="1"/>
    <col min="12" max="12" width="15.90625" bestFit="1" customWidth="1"/>
    <col min="13" max="13" width="19.36328125" bestFit="1" customWidth="1"/>
    <col min="14" max="14" width="12.1796875" bestFit="1" customWidth="1"/>
    <col min="15" max="15" width="14.54296875" bestFit="1" customWidth="1"/>
    <col min="16" max="16" width="16.453125" bestFit="1" customWidth="1"/>
    <col min="17" max="17" width="12.08984375" bestFit="1" customWidth="1"/>
    <col min="18" max="18" width="15.54296875" bestFit="1" customWidth="1"/>
    <col min="19" max="19" width="8.453125" bestFit="1" customWidth="1"/>
    <col min="20" max="20" width="10.7265625" bestFit="1" customWidth="1"/>
  </cols>
  <sheetData>
    <row r="1" spans="1:20" x14ac:dyDescent="0.35">
      <c r="A1" t="s">
        <v>637</v>
      </c>
      <c r="B1" t="s">
        <v>512</v>
      </c>
      <c r="C1" t="s">
        <v>511</v>
      </c>
      <c r="D1" t="s">
        <v>510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s="5" t="s">
        <v>632</v>
      </c>
      <c r="L1" s="5" t="s">
        <v>633</v>
      </c>
      <c r="M1" s="5" t="s">
        <v>634</v>
      </c>
      <c r="N1" s="5" t="s">
        <v>635</v>
      </c>
      <c r="O1" s="5" t="s">
        <v>636</v>
      </c>
      <c r="P1" s="5" t="s">
        <v>7</v>
      </c>
      <c r="Q1" s="5" t="s">
        <v>8</v>
      </c>
      <c r="R1" s="5" t="s">
        <v>9</v>
      </c>
      <c r="S1" s="5" t="s">
        <v>10</v>
      </c>
      <c r="T1" s="5" t="s">
        <v>209</v>
      </c>
    </row>
    <row r="2" spans="1:20" x14ac:dyDescent="0.35">
      <c r="B2" t="s">
        <v>140</v>
      </c>
      <c r="C2" t="s">
        <v>11</v>
      </c>
      <c r="D2">
        <v>1</v>
      </c>
      <c r="E2" t="s">
        <v>508</v>
      </c>
      <c r="K2">
        <f>RawData_Rat1!E36</f>
        <v>5</v>
      </c>
      <c r="L2">
        <f>RawData_Rat1!D37</f>
        <v>9</v>
      </c>
      <c r="M2">
        <f>RawData_Rat1!D39</f>
        <v>3</v>
      </c>
      <c r="N2">
        <f>RawData_Rat1!D38</f>
        <v>14</v>
      </c>
      <c r="O2">
        <f>RawData_Rat1!D40</f>
        <v>23</v>
      </c>
      <c r="P2">
        <f>RawData_Rat1!E36</f>
        <v>5</v>
      </c>
      <c r="Q2">
        <f>RawData_Rat1!E37</f>
        <v>9</v>
      </c>
      <c r="R2">
        <f>RawData_Rat1!E39</f>
        <v>3</v>
      </c>
      <c r="S2">
        <f>RawData_Rat1!E38</f>
        <v>11</v>
      </c>
      <c r="T2">
        <f>RawData_Rat1!E40</f>
        <v>20</v>
      </c>
    </row>
    <row r="3" spans="1:20" x14ac:dyDescent="0.35">
      <c r="B3" t="s">
        <v>140</v>
      </c>
      <c r="C3" t="s">
        <v>12</v>
      </c>
      <c r="D3">
        <v>1</v>
      </c>
      <c r="E3" t="s">
        <v>508</v>
      </c>
      <c r="K3">
        <f>RawData_Rat1!D76</f>
        <v>0</v>
      </c>
      <c r="L3">
        <f>RawData_Rat1!D77</f>
        <v>0</v>
      </c>
      <c r="M3">
        <f>RawData_Rat1!D79</f>
        <v>0</v>
      </c>
      <c r="N3">
        <f>RawData_Rat1!D78</f>
        <v>0</v>
      </c>
      <c r="O3">
        <f>RawData_Rat1!D80</f>
        <v>0</v>
      </c>
      <c r="P3">
        <f>RawData_Rat1!E76</f>
        <v>0</v>
      </c>
      <c r="Q3">
        <f>RawData_Rat1!E77</f>
        <v>0</v>
      </c>
      <c r="R3">
        <f>RawData_Rat1!E79</f>
        <v>0</v>
      </c>
      <c r="S3">
        <f>RawData_Rat1!E78</f>
        <v>0</v>
      </c>
      <c r="T3">
        <f>RawData_Rat1!E80</f>
        <v>0</v>
      </c>
    </row>
    <row r="4" spans="1:20" x14ac:dyDescent="0.35">
      <c r="B4" t="s">
        <v>139</v>
      </c>
      <c r="C4" t="s">
        <v>11</v>
      </c>
      <c r="D4">
        <v>1</v>
      </c>
      <c r="E4" t="s">
        <v>508</v>
      </c>
      <c r="K4">
        <f>RawData_Rat2!D36</f>
        <v>0</v>
      </c>
      <c r="L4">
        <f>RawData_Rat2!D37</f>
        <v>0</v>
      </c>
      <c r="M4">
        <f>RawData_Rat2!D39</f>
        <v>0</v>
      </c>
      <c r="N4">
        <f>RawData_Rat2!D38</f>
        <v>5</v>
      </c>
      <c r="O4">
        <f>RawData_Rat2!D40</f>
        <v>5</v>
      </c>
      <c r="P4">
        <f>RawData_Rat2!E36</f>
        <v>0</v>
      </c>
      <c r="Q4">
        <f>RawData_Rat2!E37</f>
        <v>0</v>
      </c>
      <c r="R4">
        <f>RawData_Rat2!E39</f>
        <v>0</v>
      </c>
      <c r="S4">
        <f>RawData_Rat2!E38</f>
        <v>5</v>
      </c>
      <c r="T4">
        <f>RawData_Rat2!E40</f>
        <v>5</v>
      </c>
    </row>
    <row r="5" spans="1:20" x14ac:dyDescent="0.35">
      <c r="B5" t="s">
        <v>139</v>
      </c>
      <c r="C5" t="s">
        <v>12</v>
      </c>
      <c r="D5">
        <v>1</v>
      </c>
      <c r="E5" t="s">
        <v>508</v>
      </c>
      <c r="K5">
        <f>RawData_Rat2!D76</f>
        <v>0</v>
      </c>
      <c r="L5">
        <f>RawData_Rat2!D77</f>
        <v>0</v>
      </c>
      <c r="M5">
        <f>RawData_Rat2!D79</f>
        <v>0</v>
      </c>
      <c r="N5">
        <f>RawData_Rat2!D78</f>
        <v>0</v>
      </c>
      <c r="O5">
        <f>RawData_Rat2!D80</f>
        <v>0</v>
      </c>
      <c r="P5">
        <f>RawData_Rat2!E76</f>
        <v>0</v>
      </c>
      <c r="Q5">
        <f>RawData_Rat2!E77</f>
        <v>0</v>
      </c>
      <c r="R5">
        <f>RawData_Rat2!E79</f>
        <v>0</v>
      </c>
      <c r="S5">
        <f>RawData_Rat2!E78</f>
        <v>0</v>
      </c>
      <c r="T5">
        <f>RawData_Rat2!E80</f>
        <v>0</v>
      </c>
    </row>
    <row r="6" spans="1:20" x14ac:dyDescent="0.35">
      <c r="B6" t="s">
        <v>138</v>
      </c>
      <c r="C6" t="s">
        <v>11</v>
      </c>
      <c r="D6">
        <v>2</v>
      </c>
      <c r="E6" t="s">
        <v>509</v>
      </c>
      <c r="K6">
        <f>RawData_Rat3!D34</f>
        <v>0</v>
      </c>
      <c r="L6">
        <f>RawData_Rat3!D35</f>
        <v>0</v>
      </c>
      <c r="M6">
        <f>RawData_Rat3!D37</f>
        <v>0</v>
      </c>
      <c r="N6">
        <f>RawData_Rat3!D36</f>
        <v>0</v>
      </c>
      <c r="O6">
        <f>RawData_Rat3!D38</f>
        <v>0</v>
      </c>
      <c r="P6">
        <f>RawData_Rat3!E34</f>
        <v>0</v>
      </c>
      <c r="Q6">
        <f>RawData_Rat3!E35</f>
        <v>0</v>
      </c>
      <c r="R6">
        <f>RawData_Rat3!E37</f>
        <v>0</v>
      </c>
      <c r="S6">
        <f>RawData_Rat3!E36</f>
        <v>0</v>
      </c>
      <c r="T6">
        <f>RawData_Rat3!E38</f>
        <v>0</v>
      </c>
    </row>
    <row r="7" spans="1:20" x14ac:dyDescent="0.35">
      <c r="B7" t="s">
        <v>138</v>
      </c>
      <c r="C7" t="s">
        <v>12</v>
      </c>
      <c r="D7">
        <v>2</v>
      </c>
      <c r="E7" t="s">
        <v>509</v>
      </c>
      <c r="K7">
        <f>RawData_Rat3!D73</f>
        <v>0</v>
      </c>
      <c r="L7">
        <f>RawData_Rat3!D74</f>
        <v>0</v>
      </c>
      <c r="M7">
        <f>RawData_Rat3!D75</f>
        <v>0</v>
      </c>
      <c r="N7">
        <f>RawData_Rat3!D76</f>
        <v>0</v>
      </c>
      <c r="O7">
        <f>RawData_Rat3!D77</f>
        <v>0</v>
      </c>
      <c r="P7">
        <f>RawData_Rat3!E73</f>
        <v>0</v>
      </c>
      <c r="Q7">
        <f>RawData_Rat3!E74</f>
        <v>0</v>
      </c>
      <c r="R7">
        <f>RawData_Rat3!E75</f>
        <v>0</v>
      </c>
      <c r="S7">
        <f>RawData_Rat3!E76</f>
        <v>0</v>
      </c>
      <c r="T7">
        <f>RawData_Rat3!E77</f>
        <v>0</v>
      </c>
    </row>
    <row r="8" spans="1:20" x14ac:dyDescent="0.35">
      <c r="A8">
        <v>884343</v>
      </c>
      <c r="B8" t="s">
        <v>13</v>
      </c>
      <c r="C8" t="s">
        <v>11</v>
      </c>
      <c r="D8">
        <v>1</v>
      </c>
      <c r="E8" t="s">
        <v>509</v>
      </c>
      <c r="K8">
        <f>RawData_Rat4!D36</f>
        <v>19</v>
      </c>
      <c r="L8">
        <f>RawData_Rat4!D37</f>
        <v>24</v>
      </c>
      <c r="M8">
        <f>RawData_Rat4!D39</f>
        <v>0</v>
      </c>
      <c r="N8">
        <f>RawData_Rat4!D38</f>
        <v>7</v>
      </c>
      <c r="O8">
        <f>RawData_Rat4!D40</f>
        <v>31</v>
      </c>
      <c r="P8">
        <f>RawData_Rat4!E36</f>
        <v>11</v>
      </c>
      <c r="Q8">
        <f>RawData_Rat4!E37</f>
        <v>15</v>
      </c>
      <c r="R8">
        <f>RawData_Rat4!E39</f>
        <v>0</v>
      </c>
      <c r="S8">
        <f>RawData_Rat4!E38</f>
        <v>5</v>
      </c>
      <c r="T8">
        <f>RawData_Rat4!E40</f>
        <v>20</v>
      </c>
    </row>
    <row r="9" spans="1:20" x14ac:dyDescent="0.35">
      <c r="A9">
        <v>884343</v>
      </c>
      <c r="B9" t="s">
        <v>13</v>
      </c>
      <c r="C9" t="s">
        <v>12</v>
      </c>
      <c r="D9">
        <v>1</v>
      </c>
      <c r="E9" t="s">
        <v>509</v>
      </c>
      <c r="K9">
        <f>RawData_Rat4!D75</f>
        <v>10</v>
      </c>
      <c r="L9">
        <f>RawData_Rat4!D76</f>
        <v>12</v>
      </c>
      <c r="M9">
        <f>RawData_Rat4!D77</f>
        <v>18</v>
      </c>
      <c r="N9">
        <f>RawData_Rat4!D78</f>
        <v>5</v>
      </c>
      <c r="O9">
        <f>RawData_Rat4!D79</f>
        <v>30</v>
      </c>
      <c r="P9">
        <f>RawData_Rat4!E75</f>
        <v>7</v>
      </c>
      <c r="Q9">
        <f>RawData_Rat4!E76</f>
        <v>9</v>
      </c>
      <c r="R9">
        <f>RawData_Rat4!E77</f>
        <v>11</v>
      </c>
      <c r="S9">
        <f>RawData_Rat4!E78</f>
        <v>4</v>
      </c>
      <c r="T9">
        <f>RawData_Rat4!E79</f>
        <v>20</v>
      </c>
    </row>
    <row r="10" spans="1:20" x14ac:dyDescent="0.35">
      <c r="B10" t="s">
        <v>14</v>
      </c>
      <c r="C10" t="s">
        <v>11</v>
      </c>
      <c r="D10">
        <v>2</v>
      </c>
      <c r="E10" t="s">
        <v>508</v>
      </c>
      <c r="K10">
        <f>RawData_Rat5!D35</f>
        <v>4</v>
      </c>
      <c r="L10">
        <f>RawData_Rat5!D36</f>
        <v>6</v>
      </c>
      <c r="M10">
        <f>RawData_Rat5!D38</f>
        <v>1</v>
      </c>
      <c r="N10">
        <f>RawData_Rat5!D37</f>
        <v>21</v>
      </c>
      <c r="O10">
        <f>RawData_Rat5!D39</f>
        <v>27</v>
      </c>
      <c r="P10">
        <f>RawData_Rat5!E35</f>
        <v>2</v>
      </c>
      <c r="Q10">
        <f>RawData_Rat5!E36</f>
        <v>3</v>
      </c>
      <c r="R10">
        <f>RawData_Rat5!E38</f>
        <v>1</v>
      </c>
      <c r="S10">
        <f>RawData_Rat5!E37</f>
        <v>15</v>
      </c>
      <c r="T10">
        <f>RawData_Rat5!E39</f>
        <v>18</v>
      </c>
    </row>
    <row r="11" spans="1:20" x14ac:dyDescent="0.35">
      <c r="B11" t="s">
        <v>14</v>
      </c>
      <c r="C11" t="s">
        <v>12</v>
      </c>
      <c r="D11">
        <v>2</v>
      </c>
      <c r="E11" t="s">
        <v>508</v>
      </c>
      <c r="K11">
        <f>RawData_Rat5!D75</f>
        <v>0</v>
      </c>
      <c r="L11">
        <f>RawData_Rat5!D76</f>
        <v>0</v>
      </c>
      <c r="M11">
        <f>RawData_Rat5!D78</f>
        <v>0</v>
      </c>
      <c r="N11">
        <f>RawData_Rat5!D77</f>
        <v>5</v>
      </c>
      <c r="O11">
        <f>RawData_Rat5!D79</f>
        <v>5</v>
      </c>
      <c r="P11">
        <f>RawData_Rat5!E75</f>
        <v>0</v>
      </c>
      <c r="Q11">
        <f>RawData_Rat5!E76</f>
        <v>0</v>
      </c>
      <c r="R11">
        <f>RawData_Rat5!E78</f>
        <v>0</v>
      </c>
      <c r="S11">
        <f>RawData_Rat5!E77</f>
        <v>5</v>
      </c>
      <c r="T11">
        <f>RawData_Rat5!E79</f>
        <v>5</v>
      </c>
    </row>
    <row r="12" spans="1:20" x14ac:dyDescent="0.35">
      <c r="B12" t="s">
        <v>15</v>
      </c>
      <c r="C12" t="s">
        <v>11</v>
      </c>
      <c r="D12">
        <v>1</v>
      </c>
      <c r="E12" t="s">
        <v>508</v>
      </c>
      <c r="K12">
        <f>RawData_Rat6!D36</f>
        <v>4</v>
      </c>
      <c r="L12">
        <f>RawData_Rat6!D37</f>
        <v>7</v>
      </c>
      <c r="M12">
        <f>RawData_Rat6!D39</f>
        <v>3</v>
      </c>
      <c r="N12">
        <f>RawData_Rat6!D38</f>
        <v>22</v>
      </c>
      <c r="O12">
        <f>RawData_Rat6!D40</f>
        <v>29</v>
      </c>
      <c r="P12">
        <f>RawData_Rat6!E36</f>
        <v>2</v>
      </c>
      <c r="Q12">
        <f>RawData_Rat6!E37</f>
        <v>4</v>
      </c>
      <c r="R12">
        <f>RawData_Rat6!E39</f>
        <v>2</v>
      </c>
      <c r="S12">
        <f>RawData_Rat6!E38</f>
        <v>16</v>
      </c>
      <c r="T12">
        <f>RawData_Rat6!E40</f>
        <v>20</v>
      </c>
    </row>
    <row r="13" spans="1:20" x14ac:dyDescent="0.35">
      <c r="B13" t="s">
        <v>15</v>
      </c>
      <c r="C13" t="s">
        <v>12</v>
      </c>
      <c r="D13">
        <v>1</v>
      </c>
      <c r="E13" t="s">
        <v>508</v>
      </c>
      <c r="K13">
        <f>RawData_Rat6!D76</f>
        <v>4</v>
      </c>
      <c r="L13">
        <f>RawData_Rat6!D77</f>
        <v>6</v>
      </c>
      <c r="M13">
        <f>RawData_Rat6!D79</f>
        <v>2</v>
      </c>
      <c r="N13">
        <f>RawData_Rat6!D78</f>
        <v>24</v>
      </c>
      <c r="O13">
        <f>RawData_Rat6!D80</f>
        <v>30</v>
      </c>
      <c r="P13">
        <f>RawData_Rat6!E76</f>
        <v>2</v>
      </c>
      <c r="Q13">
        <f>RawData_Rat6!E77</f>
        <v>3</v>
      </c>
      <c r="R13">
        <f>RawData_Rat6!E79</f>
        <v>1</v>
      </c>
      <c r="S13">
        <f>RawData_Rat6!E78</f>
        <v>17</v>
      </c>
      <c r="T13">
        <f>RawData_Rat6!E80</f>
        <v>20</v>
      </c>
    </row>
    <row r="14" spans="1:20" x14ac:dyDescent="0.35">
      <c r="B14" t="s">
        <v>16</v>
      </c>
      <c r="C14" t="s">
        <v>11</v>
      </c>
      <c r="D14">
        <v>4</v>
      </c>
      <c r="E14" t="s">
        <v>509</v>
      </c>
      <c r="H14" t="s">
        <v>17</v>
      </c>
      <c r="K14">
        <f>RawData_Rat7!$D$36</f>
        <v>4</v>
      </c>
      <c r="L14">
        <f>RawData_Rat7!$D$37</f>
        <v>6</v>
      </c>
      <c r="M14">
        <f>RawData_Rat7!$D$39</f>
        <v>0</v>
      </c>
      <c r="N14">
        <f>RawData_Rat7!$D$38</f>
        <v>25</v>
      </c>
      <c r="O14">
        <f>RawData_Rat7!$D$40</f>
        <v>31</v>
      </c>
      <c r="P14">
        <f>RawData_Rat7!E36</f>
        <v>2</v>
      </c>
      <c r="Q14">
        <f>RawData_Rat7!E37</f>
        <v>2</v>
      </c>
      <c r="R14">
        <f>RawData_Rat7!E39</f>
        <v>0</v>
      </c>
      <c r="S14">
        <f>RawData_Rat7!E38</f>
        <v>18</v>
      </c>
      <c r="T14">
        <f>RawData_Rat7!E40</f>
        <v>20</v>
      </c>
    </row>
    <row r="15" spans="1:20" x14ac:dyDescent="0.35">
      <c r="B15" t="s">
        <v>16</v>
      </c>
      <c r="C15" t="s">
        <v>12</v>
      </c>
      <c r="D15">
        <v>4</v>
      </c>
      <c r="E15" t="s">
        <v>509</v>
      </c>
      <c r="H15" t="s">
        <v>17</v>
      </c>
      <c r="K15">
        <f>RawData_Rat7!$D$76</f>
        <v>7</v>
      </c>
      <c r="L15">
        <f>RawData_Rat7!$D$77</f>
        <v>11</v>
      </c>
      <c r="M15">
        <f>RawData_Rat7!$D$79</f>
        <v>0</v>
      </c>
      <c r="N15">
        <f>RawData_Rat7!$D$78</f>
        <v>20</v>
      </c>
      <c r="O15">
        <f>RawData_Rat7!$D$80</f>
        <v>31</v>
      </c>
      <c r="P15">
        <f>RawData_Rat7!E76</f>
        <v>6</v>
      </c>
      <c r="Q15">
        <f>RawData_Rat7!E77</f>
        <v>9</v>
      </c>
      <c r="R15">
        <f>RawData_Rat7!E79</f>
        <v>0</v>
      </c>
      <c r="S15">
        <f>RawData_Rat7!E78</f>
        <v>11</v>
      </c>
      <c r="T15">
        <f>RawData_Rat7!E80</f>
        <v>20</v>
      </c>
    </row>
    <row r="16" spans="1:20" x14ac:dyDescent="0.35">
      <c r="B16" t="s">
        <v>129</v>
      </c>
      <c r="C16" t="s">
        <v>11</v>
      </c>
      <c r="D16">
        <v>1</v>
      </c>
      <c r="E16" t="s">
        <v>509</v>
      </c>
      <c r="K16">
        <f>RawData_Rat8!$D$36</f>
        <v>1</v>
      </c>
      <c r="L16">
        <f>RawData_Rat8!$D$37</f>
        <v>6</v>
      </c>
      <c r="M16">
        <f>RawData_Rat8!$D$39</f>
        <v>2</v>
      </c>
      <c r="N16">
        <f>RawData_Rat8!$D$38</f>
        <v>25</v>
      </c>
      <c r="O16">
        <f>RawData_Rat8!$D$40</f>
        <v>31</v>
      </c>
      <c r="P16">
        <f>RawData_Rat8!E36</f>
        <v>0</v>
      </c>
      <c r="Q16">
        <f>RawData_Rat8!E37</f>
        <v>2</v>
      </c>
      <c r="R16">
        <f>RawData_Rat8!E39</f>
        <v>0</v>
      </c>
      <c r="S16">
        <f>RawData_Rat8!E38</f>
        <v>18</v>
      </c>
      <c r="T16">
        <f>RawData_Rat8!E40</f>
        <v>20</v>
      </c>
    </row>
    <row r="17" spans="2:20" x14ac:dyDescent="0.35">
      <c r="B17" t="s">
        <v>129</v>
      </c>
      <c r="C17" t="s">
        <v>12</v>
      </c>
      <c r="D17">
        <v>1</v>
      </c>
      <c r="E17" t="s">
        <v>509</v>
      </c>
      <c r="K17">
        <f>RawData_Rat8!$D$76</f>
        <v>2</v>
      </c>
      <c r="L17">
        <f>RawData_Rat8!$D$77</f>
        <v>4</v>
      </c>
      <c r="M17">
        <f>RawData_Rat8!$D$79</f>
        <v>0</v>
      </c>
      <c r="N17">
        <f>RawData_Rat8!$D$78</f>
        <v>24</v>
      </c>
      <c r="O17">
        <f>RawData_Rat8!$D$80</f>
        <v>28</v>
      </c>
      <c r="P17">
        <f>RawData_Rat8!E76</f>
        <v>1</v>
      </c>
      <c r="Q17">
        <f>RawData_Rat8!E77</f>
        <v>2</v>
      </c>
      <c r="R17">
        <f>RawData_Rat8!E79</f>
        <v>0</v>
      </c>
      <c r="S17">
        <f>RawData_Rat8!E78</f>
        <v>16</v>
      </c>
      <c r="T17">
        <f>RawData_Rat8!E80</f>
        <v>18</v>
      </c>
    </row>
    <row r="18" spans="2:20" x14ac:dyDescent="0.35">
      <c r="B18" t="s">
        <v>130</v>
      </c>
      <c r="C18" t="s">
        <v>11</v>
      </c>
      <c r="D18">
        <v>2</v>
      </c>
      <c r="E18" t="s">
        <v>508</v>
      </c>
    </row>
    <row r="19" spans="2:20" x14ac:dyDescent="0.35">
      <c r="B19" t="s">
        <v>130</v>
      </c>
      <c r="C19" t="s">
        <v>12</v>
      </c>
      <c r="D19">
        <v>2</v>
      </c>
      <c r="E19" t="s">
        <v>508</v>
      </c>
    </row>
    <row r="20" spans="2:20" x14ac:dyDescent="0.35">
      <c r="B20" t="s">
        <v>131</v>
      </c>
      <c r="C20" t="s">
        <v>11</v>
      </c>
      <c r="D20">
        <v>2</v>
      </c>
      <c r="E20" t="s">
        <v>508</v>
      </c>
    </row>
    <row r="21" spans="2:20" x14ac:dyDescent="0.35">
      <c r="B21" t="s">
        <v>131</v>
      </c>
      <c r="C21" t="s">
        <v>12</v>
      </c>
      <c r="D21">
        <v>2</v>
      </c>
      <c r="E21" t="s">
        <v>508</v>
      </c>
    </row>
    <row r="22" spans="2:20" x14ac:dyDescent="0.35">
      <c r="B22" t="s">
        <v>132</v>
      </c>
      <c r="C22" t="s">
        <v>11</v>
      </c>
      <c r="D22">
        <v>1</v>
      </c>
      <c r="E22" t="s">
        <v>509</v>
      </c>
      <c r="K22">
        <f>RawData_Rat11!$D$36</f>
        <v>4</v>
      </c>
      <c r="L22">
        <f>RawData_Rat11!$D$37</f>
        <v>8</v>
      </c>
      <c r="M22">
        <f>RawData_Rat11!$D$39</f>
        <v>3</v>
      </c>
      <c r="N22">
        <f>RawData_Rat11!$D$38</f>
        <v>22</v>
      </c>
      <c r="O22">
        <f>RawData_Rat11!$D$40</f>
        <v>30</v>
      </c>
      <c r="P22">
        <f>RawData_Rat11!E36</f>
        <v>2</v>
      </c>
      <c r="Q22">
        <f>RawData_Rat11!E37</f>
        <v>5</v>
      </c>
      <c r="R22">
        <f>RawData_Rat11!E39</f>
        <v>3</v>
      </c>
      <c r="S22">
        <f>RawData_Rat11!E38</f>
        <v>15</v>
      </c>
      <c r="T22">
        <f>RawData_Rat11!E40</f>
        <v>20</v>
      </c>
    </row>
    <row r="23" spans="2:20" x14ac:dyDescent="0.35">
      <c r="B23" t="s">
        <v>132</v>
      </c>
      <c r="C23" t="s">
        <v>12</v>
      </c>
      <c r="D23">
        <v>1</v>
      </c>
      <c r="E23" t="s">
        <v>509</v>
      </c>
      <c r="K23">
        <f>RawData_Rat11!$D$76</f>
        <v>11</v>
      </c>
      <c r="L23">
        <f>RawData_Rat11!$D$77</f>
        <v>11</v>
      </c>
      <c r="M23">
        <f>RawData_Rat11!$D$79</f>
        <v>5</v>
      </c>
      <c r="N23">
        <f>RawData_Rat11!$D$78</f>
        <v>19</v>
      </c>
      <c r="O23">
        <f>RawData_Rat11!$D$80</f>
        <v>30</v>
      </c>
      <c r="P23">
        <f>RawData_Rat11!E76</f>
        <v>7</v>
      </c>
      <c r="Q23">
        <f>RawData_Rat11!E77</f>
        <v>7</v>
      </c>
      <c r="R23">
        <f>RawData_Rat11!E79</f>
        <v>3</v>
      </c>
      <c r="S23">
        <f>RawData_Rat11!E78</f>
        <v>13</v>
      </c>
      <c r="T23">
        <f>RawData_Rat11!E80</f>
        <v>20</v>
      </c>
    </row>
    <row r="24" spans="2:20" x14ac:dyDescent="0.35">
      <c r="B24" t="s">
        <v>133</v>
      </c>
      <c r="C24" t="s">
        <v>11</v>
      </c>
      <c r="D24">
        <v>1</v>
      </c>
      <c r="E24" t="s">
        <v>509</v>
      </c>
      <c r="K24">
        <f>RawData_Rat12!$D$36</f>
        <v>0</v>
      </c>
      <c r="L24">
        <f>RawData_Rat12!$D$37</f>
        <v>3</v>
      </c>
      <c r="M24">
        <f>RawData_Rat12!$D$39</f>
        <v>1</v>
      </c>
      <c r="N24">
        <f>RawData_Rat12!$D$38</f>
        <v>24</v>
      </c>
      <c r="O24">
        <f>RawData_Rat12!$D$40</f>
        <v>27</v>
      </c>
      <c r="P24">
        <f>RawData_Rat12!E36</f>
        <v>0</v>
      </c>
      <c r="Q24">
        <f>RawData_Rat12!E37</f>
        <v>1</v>
      </c>
      <c r="R24">
        <f>RawData_Rat12!E39</f>
        <v>1</v>
      </c>
      <c r="S24">
        <f>RawData_Rat12!E38</f>
        <v>19</v>
      </c>
      <c r="T24">
        <f>RawData_Rat12!E40</f>
        <v>20</v>
      </c>
    </row>
    <row r="25" spans="2:20" x14ac:dyDescent="0.35">
      <c r="B25" t="s">
        <v>133</v>
      </c>
      <c r="C25" t="s">
        <v>12</v>
      </c>
      <c r="D25">
        <v>1</v>
      </c>
      <c r="E25" t="s">
        <v>509</v>
      </c>
      <c r="K25">
        <f>RawData_Rat12!$D$76</f>
        <v>2</v>
      </c>
      <c r="L25">
        <f>RawData_Rat12!$D$77</f>
        <v>2</v>
      </c>
      <c r="M25">
        <f>RawData_Rat12!$D$79</f>
        <v>15</v>
      </c>
      <c r="N25">
        <f>RawData_Rat12!$D$78</f>
        <v>28</v>
      </c>
      <c r="O25">
        <f>RawData_Rat12!$D$80</f>
        <v>30</v>
      </c>
      <c r="P25">
        <f>RawData_Rat12!E76</f>
        <v>1</v>
      </c>
      <c r="Q25">
        <f>RawData_Rat12!E77</f>
        <v>1</v>
      </c>
      <c r="R25">
        <f>RawData_Rat12!E79</f>
        <v>11</v>
      </c>
      <c r="S25">
        <f>RawData_Rat12!E78</f>
        <v>19</v>
      </c>
      <c r="T25">
        <f>RawData_Rat12!E80</f>
        <v>20</v>
      </c>
    </row>
    <row r="26" spans="2:20" x14ac:dyDescent="0.35">
      <c r="B26" t="s">
        <v>134</v>
      </c>
      <c r="C26" t="s">
        <v>11</v>
      </c>
      <c r="D26">
        <v>1</v>
      </c>
      <c r="E26" t="s">
        <v>508</v>
      </c>
      <c r="K26">
        <f>RawData_Rat13!$D$36</f>
        <v>0</v>
      </c>
      <c r="L26">
        <f>RawData_Rat13!$D$37</f>
        <v>1</v>
      </c>
      <c r="M26">
        <f>RawData_Rat13!$D$39</f>
        <v>2</v>
      </c>
      <c r="N26">
        <f>RawData_Rat13!$D$38</f>
        <v>14</v>
      </c>
      <c r="O26">
        <f>RawData_Rat13!$D$40</f>
        <v>15</v>
      </c>
      <c r="P26">
        <f>RawData_Rat13!E36</f>
        <v>0</v>
      </c>
      <c r="Q26">
        <f>RawData_Rat13!E37</f>
        <v>1</v>
      </c>
      <c r="R26">
        <f>RawData_Rat13!E39</f>
        <v>2</v>
      </c>
      <c r="S26">
        <f>RawData_Rat13!E38</f>
        <v>14</v>
      </c>
      <c r="T26">
        <f>RawData_Rat13!E40</f>
        <v>15</v>
      </c>
    </row>
    <row r="27" spans="2:20" x14ac:dyDescent="0.35">
      <c r="B27" t="s">
        <v>134</v>
      </c>
      <c r="C27" t="s">
        <v>12</v>
      </c>
      <c r="D27">
        <v>1</v>
      </c>
      <c r="E27" t="s">
        <v>508</v>
      </c>
      <c r="K27">
        <f>RawData_Rat13!$D$76</f>
        <v>0</v>
      </c>
      <c r="L27">
        <f>RawData_Rat13!$D$77</f>
        <v>0</v>
      </c>
      <c r="M27">
        <f>RawData_Rat13!$D$79</f>
        <v>0</v>
      </c>
      <c r="N27">
        <f>RawData_Rat13!$D$78</f>
        <v>7</v>
      </c>
      <c r="O27">
        <f>RawData_Rat13!$D$80</f>
        <v>7</v>
      </c>
      <c r="P27">
        <f>RawData_Rat13!E76</f>
        <v>0</v>
      </c>
      <c r="Q27">
        <f>RawData_Rat13!E77</f>
        <v>0</v>
      </c>
      <c r="R27">
        <f>RawData_Rat13!E79</f>
        <v>0</v>
      </c>
      <c r="S27">
        <f>RawData_Rat13!E78</f>
        <v>7</v>
      </c>
      <c r="T27">
        <f>RawData_Rat13!E80</f>
        <v>7</v>
      </c>
    </row>
    <row r="28" spans="2:20" x14ac:dyDescent="0.35">
      <c r="B28" t="s">
        <v>135</v>
      </c>
      <c r="C28" t="s">
        <v>11</v>
      </c>
      <c r="D28">
        <v>3</v>
      </c>
      <c r="E28" t="s">
        <v>508</v>
      </c>
      <c r="K28">
        <f>RawData_Rat14!$D$36</f>
        <v>4</v>
      </c>
      <c r="L28">
        <f>RawData_Rat14!$D$37</f>
        <v>11</v>
      </c>
      <c r="M28">
        <f>RawData_Rat14!$D$39</f>
        <v>1</v>
      </c>
      <c r="N28">
        <f>RawData_Rat14!$D$38</f>
        <v>19</v>
      </c>
      <c r="O28">
        <f>RawData_Rat14!$D$40</f>
        <v>30</v>
      </c>
      <c r="P28">
        <f>RawData_Rat14!E36</f>
        <v>0</v>
      </c>
      <c r="Q28">
        <f>RawData_Rat14!E37</f>
        <v>6</v>
      </c>
      <c r="R28">
        <f>RawData_Rat14!E39</f>
        <v>1</v>
      </c>
      <c r="S28">
        <f>RawData_Rat14!E38</f>
        <v>14</v>
      </c>
      <c r="T28">
        <f>RawData_Rat14!E40</f>
        <v>20</v>
      </c>
    </row>
    <row r="29" spans="2:20" x14ac:dyDescent="0.35">
      <c r="B29" t="s">
        <v>135</v>
      </c>
      <c r="C29" t="s">
        <v>12</v>
      </c>
      <c r="D29">
        <v>3</v>
      </c>
      <c r="E29" t="s">
        <v>508</v>
      </c>
      <c r="K29">
        <f>RawData_Rat14!$D$76</f>
        <v>10</v>
      </c>
      <c r="L29">
        <f>RawData_Rat14!$D$77</f>
        <v>14</v>
      </c>
      <c r="M29">
        <f>RawData_Rat14!$D$79</f>
        <v>1</v>
      </c>
      <c r="N29">
        <f>RawData_Rat14!$D$78</f>
        <v>15</v>
      </c>
      <c r="O29">
        <f>RawData_Rat14!$D$80</f>
        <v>29</v>
      </c>
      <c r="P29">
        <f>RawData_Rat14!E76</f>
        <v>8</v>
      </c>
      <c r="Q29">
        <f>RawData_Rat14!E77</f>
        <v>9</v>
      </c>
      <c r="R29">
        <f>RawData_Rat14!E79</f>
        <v>1</v>
      </c>
      <c r="S29">
        <f>RawData_Rat14!E78</f>
        <v>11</v>
      </c>
      <c r="T29">
        <f>RawData_Rat14!E80</f>
        <v>20</v>
      </c>
    </row>
    <row r="30" spans="2:20" x14ac:dyDescent="0.35">
      <c r="B30" t="s">
        <v>136</v>
      </c>
      <c r="C30" t="s">
        <v>11</v>
      </c>
      <c r="D30">
        <v>2</v>
      </c>
      <c r="E30" t="s">
        <v>509</v>
      </c>
      <c r="K30">
        <f>RawData_Rat15!$D$36</f>
        <v>3</v>
      </c>
      <c r="L30">
        <f>RawData_Rat15!$D$37</f>
        <v>4</v>
      </c>
      <c r="M30">
        <f>RawData_Rat15!$D$39</f>
        <v>8</v>
      </c>
      <c r="N30">
        <f>RawData_Rat15!$D$38</f>
        <v>26</v>
      </c>
      <c r="O30">
        <f>RawData_Rat15!$D$40</f>
        <v>30</v>
      </c>
      <c r="P30">
        <f>RawData_Rat15!E36</f>
        <v>3</v>
      </c>
      <c r="Q30">
        <f>RawData_Rat15!E37</f>
        <v>4</v>
      </c>
      <c r="R30">
        <f>RawData_Rat15!E39</f>
        <v>4</v>
      </c>
      <c r="S30">
        <f>RawData_Rat15!E38</f>
        <v>16</v>
      </c>
      <c r="T30">
        <f>RawData_Rat15!E40</f>
        <v>20</v>
      </c>
    </row>
    <row r="31" spans="2:20" x14ac:dyDescent="0.35">
      <c r="B31" t="s">
        <v>136</v>
      </c>
      <c r="C31" t="s">
        <v>12</v>
      </c>
      <c r="D31">
        <v>2</v>
      </c>
      <c r="E31" t="s">
        <v>509</v>
      </c>
      <c r="K31">
        <f>RawData_Rat15!$D$76</f>
        <v>0</v>
      </c>
      <c r="L31">
        <f>RawData_Rat15!$D$77</f>
        <v>0</v>
      </c>
      <c r="M31">
        <f>RawData_Rat15!$D$79</f>
        <v>0</v>
      </c>
      <c r="N31">
        <f>RawData_Rat15!$D$78</f>
        <v>0</v>
      </c>
      <c r="O31">
        <f>RawData_Rat15!$D$80</f>
        <v>0</v>
      </c>
      <c r="P31">
        <f>RawData_Rat15!E76</f>
        <v>0</v>
      </c>
      <c r="Q31">
        <f>RawData_Rat15!E77</f>
        <v>0</v>
      </c>
      <c r="R31">
        <f>RawData_Rat15!E79</f>
        <v>0</v>
      </c>
      <c r="S31">
        <f>RawData_Rat15!E78</f>
        <v>0</v>
      </c>
      <c r="T31">
        <f>RawData_Rat15!E80</f>
        <v>0</v>
      </c>
    </row>
    <row r="32" spans="2:20" x14ac:dyDescent="0.35">
      <c r="B32" t="s">
        <v>137</v>
      </c>
      <c r="C32" t="s">
        <v>11</v>
      </c>
      <c r="D32">
        <v>1</v>
      </c>
      <c r="E32" t="s">
        <v>509</v>
      </c>
      <c r="K32">
        <f>RawData_Rat16!$D$36</f>
        <v>15</v>
      </c>
      <c r="L32">
        <f>RawData_Rat16!$D$37</f>
        <v>21</v>
      </c>
      <c r="M32">
        <f>RawData_Rat16!$D$39</f>
        <v>3</v>
      </c>
      <c r="N32">
        <f>RawData_Rat16!$D$38</f>
        <v>9</v>
      </c>
      <c r="O32">
        <f>RawData_Rat16!$D$40</f>
        <v>30</v>
      </c>
      <c r="P32">
        <f>RawData_Rat16!E36</f>
        <v>11</v>
      </c>
      <c r="Q32">
        <f>RawData_Rat16!E37</f>
        <v>13</v>
      </c>
      <c r="R32">
        <f>RawData_Rat16!E39</f>
        <v>2</v>
      </c>
      <c r="S32">
        <f>RawData_Rat16!E38</f>
        <v>7</v>
      </c>
      <c r="T32">
        <f>RawData_Rat16!E40</f>
        <v>20</v>
      </c>
    </row>
    <row r="33" spans="2:20" x14ac:dyDescent="0.35">
      <c r="B33" t="s">
        <v>137</v>
      </c>
      <c r="C33" t="s">
        <v>12</v>
      </c>
      <c r="D33">
        <v>1</v>
      </c>
      <c r="E33" t="s">
        <v>509</v>
      </c>
      <c r="K33">
        <f>RawData_Rat16!$D$76</f>
        <v>15</v>
      </c>
      <c r="L33">
        <f>RawData_Rat16!$D$77</f>
        <v>23</v>
      </c>
      <c r="M33">
        <f>RawData_Rat16!$D$79</f>
        <v>1</v>
      </c>
      <c r="N33">
        <f>RawData_Rat16!$D$78</f>
        <v>7</v>
      </c>
      <c r="O33">
        <f>RawData_Rat16!$D$80</f>
        <v>30</v>
      </c>
      <c r="P33">
        <f>RawData_Rat16!E76</f>
        <v>9</v>
      </c>
      <c r="Q33">
        <f>RawData_Rat16!E77</f>
        <v>16</v>
      </c>
      <c r="R33">
        <f>RawData_Rat16!E79</f>
        <v>1</v>
      </c>
      <c r="S33">
        <f>RawData_Rat16!E78</f>
        <v>4</v>
      </c>
      <c r="T33">
        <f>RawData_Rat16!E80</f>
        <v>20</v>
      </c>
    </row>
    <row r="34" spans="2:20" x14ac:dyDescent="0.35">
      <c r="B34" t="s">
        <v>504</v>
      </c>
      <c r="C34" t="s">
        <v>11</v>
      </c>
      <c r="D34">
        <v>2</v>
      </c>
      <c r="E34" t="s">
        <v>509</v>
      </c>
      <c r="K34">
        <f>RawData_Rat17!$D$36</f>
        <v>0</v>
      </c>
      <c r="L34">
        <f>RawData_Rat17!$D$37</f>
        <v>0</v>
      </c>
      <c r="M34">
        <f>RawData_Rat17!$D$39</f>
        <v>0</v>
      </c>
      <c r="N34">
        <f>RawData_Rat17!$D$38</f>
        <v>0</v>
      </c>
      <c r="O34">
        <f>RawData_Rat17!$D$40</f>
        <v>0</v>
      </c>
      <c r="P34">
        <f>RawData_Rat17!E36</f>
        <v>0</v>
      </c>
      <c r="Q34">
        <f>RawData_Rat17!E37</f>
        <v>0</v>
      </c>
      <c r="R34">
        <f>RawData_Rat17!E39</f>
        <v>0</v>
      </c>
      <c r="S34">
        <f>RawData_Rat17!E38</f>
        <v>0</v>
      </c>
      <c r="T34">
        <f>RawData_Rat16!E40</f>
        <v>20</v>
      </c>
    </row>
    <row r="35" spans="2:20" x14ac:dyDescent="0.35">
      <c r="B35" t="s">
        <v>504</v>
      </c>
      <c r="C35" t="s">
        <v>12</v>
      </c>
      <c r="D35">
        <v>2</v>
      </c>
      <c r="E35" t="s">
        <v>509</v>
      </c>
      <c r="K35">
        <f>RawData_Rat17!$D$76</f>
        <v>0</v>
      </c>
      <c r="L35">
        <f>RawData_Rat17!$D$77</f>
        <v>0</v>
      </c>
      <c r="M35">
        <f>RawData_Rat17!$D$79</f>
        <v>0</v>
      </c>
      <c r="N35">
        <f>RawData_Rat17!$D$78</f>
        <v>0</v>
      </c>
      <c r="O35">
        <f>RawData_Rat17!$D$80</f>
        <v>0</v>
      </c>
      <c r="P35">
        <f>RawData_Rat17!E76</f>
        <v>0</v>
      </c>
      <c r="Q35">
        <f>RawData_Rat17!E77</f>
        <v>0</v>
      </c>
      <c r="R35">
        <f>RawData_Rat17!E79</f>
        <v>0</v>
      </c>
      <c r="S35">
        <f>RawData_Rat17!E78</f>
        <v>0</v>
      </c>
      <c r="T35">
        <f>RawData_Rat16!E80</f>
        <v>20</v>
      </c>
    </row>
    <row r="36" spans="2:20" x14ac:dyDescent="0.35">
      <c r="B36" t="s">
        <v>505</v>
      </c>
      <c r="C36" t="s">
        <v>11</v>
      </c>
      <c r="D36">
        <v>1</v>
      </c>
      <c r="E36" t="s">
        <v>509</v>
      </c>
      <c r="K36">
        <f>RawData_Rat18!$D$36</f>
        <v>2</v>
      </c>
      <c r="L36">
        <f>RawData_Rat18!$D$37</f>
        <v>4</v>
      </c>
      <c r="M36">
        <f>RawData_Rat18!$D$39</f>
        <v>1</v>
      </c>
      <c r="N36">
        <f>RawData_Rat18!$D$38</f>
        <v>27</v>
      </c>
      <c r="O36">
        <f>RawData_Rat18!$D$40</f>
        <v>31</v>
      </c>
      <c r="P36">
        <f>RawData_Rat18!E36</f>
        <v>0</v>
      </c>
      <c r="Q36">
        <f>RawData_Rat18!E37</f>
        <v>0</v>
      </c>
      <c r="R36">
        <f>RawData_Rat18!E39</f>
        <v>0</v>
      </c>
      <c r="S36">
        <f>RawData_Rat18!E38</f>
        <v>20</v>
      </c>
      <c r="T36">
        <f>RawData_Rat16!E40</f>
        <v>20</v>
      </c>
    </row>
    <row r="37" spans="2:20" x14ac:dyDescent="0.35">
      <c r="B37" t="s">
        <v>505</v>
      </c>
      <c r="C37" t="s">
        <v>12</v>
      </c>
      <c r="D37">
        <v>1</v>
      </c>
      <c r="E37" t="s">
        <v>509</v>
      </c>
      <c r="K37">
        <f>RawData_Rat18!$D$76</f>
        <v>1</v>
      </c>
      <c r="L37">
        <f>RawData_Rat18!$D$77</f>
        <v>1</v>
      </c>
      <c r="M37">
        <f>RawData_Rat18!$D$79</f>
        <v>0</v>
      </c>
      <c r="N37">
        <f>RawData_Rat18!$D$78</f>
        <v>27</v>
      </c>
      <c r="O37">
        <f>RawData_Rat18!$D$80</f>
        <v>28</v>
      </c>
      <c r="P37">
        <f>RawData_Rat18!E76</f>
        <v>1</v>
      </c>
      <c r="Q37">
        <f>RawData_Rat18!E77</f>
        <v>1</v>
      </c>
      <c r="R37">
        <f>RawData_Rat18!E79</f>
        <v>0</v>
      </c>
      <c r="S37">
        <f>RawData_Rat18!E78</f>
        <v>19</v>
      </c>
      <c r="T37">
        <f>RawData_Rat16!E80</f>
        <v>20</v>
      </c>
    </row>
    <row r="38" spans="2:20" x14ac:dyDescent="0.35">
      <c r="B38" t="s">
        <v>506</v>
      </c>
      <c r="C38" t="s">
        <v>11</v>
      </c>
      <c r="D38">
        <v>2</v>
      </c>
      <c r="E38" t="s">
        <v>508</v>
      </c>
    </row>
    <row r="39" spans="2:20" x14ac:dyDescent="0.35">
      <c r="B39" t="s">
        <v>506</v>
      </c>
      <c r="C39" t="s">
        <v>12</v>
      </c>
      <c r="D39">
        <v>2</v>
      </c>
      <c r="E39" t="s">
        <v>508</v>
      </c>
    </row>
    <row r="40" spans="2:20" x14ac:dyDescent="0.35">
      <c r="B40" t="s">
        <v>542</v>
      </c>
      <c r="C40" t="s">
        <v>11</v>
      </c>
      <c r="D40">
        <v>1</v>
      </c>
      <c r="E40" t="s">
        <v>508</v>
      </c>
      <c r="K40">
        <f>RawData_Rat20!$D$36</f>
        <v>11</v>
      </c>
      <c r="L40">
        <f>RawData_Rat20!$D$37</f>
        <v>15</v>
      </c>
      <c r="M40">
        <f>RawData_Rat20!$D$39</f>
        <v>0</v>
      </c>
      <c r="N40">
        <f>RawData_Rat20!$D$38</f>
        <v>15</v>
      </c>
      <c r="O40">
        <f>RawData_Rat20!$D$40</f>
        <v>30</v>
      </c>
      <c r="P40">
        <f>RawData_Rat20!E36</f>
        <v>9</v>
      </c>
      <c r="Q40">
        <f>RawData_Rat20!E37</f>
        <v>12</v>
      </c>
      <c r="R40">
        <f>RawData_Rat20!E39</f>
        <v>0</v>
      </c>
      <c r="S40">
        <f>RawData_Rat20!E38</f>
        <v>8</v>
      </c>
      <c r="T40">
        <f>RawData_Rat20!E40</f>
        <v>20</v>
      </c>
    </row>
    <row r="41" spans="2:20" x14ac:dyDescent="0.35">
      <c r="B41" t="s">
        <v>542</v>
      </c>
      <c r="C41" t="s">
        <v>12</v>
      </c>
      <c r="D41">
        <v>1</v>
      </c>
      <c r="E41" t="s">
        <v>508</v>
      </c>
      <c r="K41">
        <f>RawData_Rat20!$D$76</f>
        <v>10</v>
      </c>
      <c r="L41">
        <f>RawData_Rat20!$D$77</f>
        <v>17</v>
      </c>
      <c r="M41">
        <f>RawData_Rat20!$D$79</f>
        <v>0</v>
      </c>
      <c r="N41">
        <f>RawData_Rat20!$D$78</f>
        <v>13</v>
      </c>
      <c r="O41">
        <f>RawData_Rat20!$D$80</f>
        <v>30</v>
      </c>
      <c r="P41">
        <f>RawData_Rat20!E76</f>
        <v>6</v>
      </c>
      <c r="Q41">
        <f>RawData_Rat20!E77</f>
        <v>12</v>
      </c>
      <c r="R41">
        <f>RawData_Rat20!E79</f>
        <v>0</v>
      </c>
      <c r="S41">
        <f>RawData_Rat20!E78</f>
        <v>8</v>
      </c>
      <c r="T41">
        <f>RawData_Rat20!E80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0EC8-933E-4F5E-8A1E-C4E09B1B733B}">
  <dimension ref="A2:J80"/>
  <sheetViews>
    <sheetView topLeftCell="A31" zoomScale="88" zoomScaleNormal="88" workbookViewId="0">
      <selection activeCell="E36" sqref="E36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507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27</v>
      </c>
      <c r="C3" s="2" t="s">
        <v>11</v>
      </c>
      <c r="D3" s="7">
        <v>1.5046296296296296E-3</v>
      </c>
      <c r="E3">
        <v>1</v>
      </c>
    </row>
    <row r="4" spans="1:10" x14ac:dyDescent="0.35">
      <c r="A4">
        <v>2</v>
      </c>
      <c r="B4" t="s">
        <v>27</v>
      </c>
      <c r="C4" s="2" t="s">
        <v>11</v>
      </c>
      <c r="D4" s="7">
        <v>1.7476851851851852E-3</v>
      </c>
      <c r="G4">
        <v>1</v>
      </c>
    </row>
    <row r="5" spans="1:10" x14ac:dyDescent="0.35">
      <c r="A5">
        <v>3</v>
      </c>
      <c r="B5" t="s">
        <v>27</v>
      </c>
      <c r="C5" s="2" t="s">
        <v>11</v>
      </c>
      <c r="D5" s="7">
        <v>1.8402777777777777E-3</v>
      </c>
      <c r="J5">
        <v>1</v>
      </c>
    </row>
    <row r="6" spans="1:10" x14ac:dyDescent="0.35">
      <c r="A6">
        <v>4</v>
      </c>
      <c r="B6" t="s">
        <v>27</v>
      </c>
      <c r="C6" s="2" t="s">
        <v>11</v>
      </c>
      <c r="D6" s="7">
        <v>1.9097222222222222E-3</v>
      </c>
      <c r="J6">
        <v>1</v>
      </c>
    </row>
    <row r="7" spans="1:10" x14ac:dyDescent="0.35">
      <c r="A7">
        <v>5</v>
      </c>
      <c r="B7" t="s">
        <v>27</v>
      </c>
      <c r="C7" s="2" t="s">
        <v>11</v>
      </c>
      <c r="D7" s="7">
        <v>2.1296296296296298E-3</v>
      </c>
      <c r="G7">
        <v>1</v>
      </c>
    </row>
    <row r="8" spans="1:10" x14ac:dyDescent="0.35">
      <c r="A8">
        <v>6</v>
      </c>
      <c r="B8" t="s">
        <v>27</v>
      </c>
      <c r="C8" s="2" t="s">
        <v>11</v>
      </c>
      <c r="D8" s="7">
        <v>2.2453703703703702E-3</v>
      </c>
      <c r="E8">
        <v>1</v>
      </c>
    </row>
    <row r="9" spans="1:10" x14ac:dyDescent="0.35">
      <c r="A9">
        <v>7</v>
      </c>
      <c r="B9" t="s">
        <v>27</v>
      </c>
      <c r="C9" s="2" t="s">
        <v>11</v>
      </c>
      <c r="D9" s="7">
        <v>2.2916666666666667E-3</v>
      </c>
      <c r="G9">
        <v>1</v>
      </c>
    </row>
    <row r="10" spans="1:10" x14ac:dyDescent="0.35">
      <c r="A10">
        <v>8</v>
      </c>
      <c r="B10" t="s">
        <v>27</v>
      </c>
      <c r="C10" s="2" t="s">
        <v>11</v>
      </c>
      <c r="D10" s="7">
        <v>2.3726851851851851E-3</v>
      </c>
      <c r="J10">
        <v>1</v>
      </c>
    </row>
    <row r="11" spans="1:10" x14ac:dyDescent="0.35">
      <c r="A11">
        <v>9</v>
      </c>
      <c r="B11" t="s">
        <v>27</v>
      </c>
      <c r="C11" s="2" t="s">
        <v>11</v>
      </c>
      <c r="D11" s="7">
        <v>2.5578703703703705E-3</v>
      </c>
      <c r="E11">
        <v>1</v>
      </c>
    </row>
    <row r="12" spans="1:10" x14ac:dyDescent="0.35">
      <c r="A12">
        <v>10</v>
      </c>
      <c r="B12" t="s">
        <v>27</v>
      </c>
      <c r="C12" s="2" t="s">
        <v>11</v>
      </c>
      <c r="D12" s="7">
        <v>2.662037037037037E-3</v>
      </c>
      <c r="I12">
        <v>1</v>
      </c>
    </row>
    <row r="13" spans="1:10" x14ac:dyDescent="0.35">
      <c r="A13">
        <v>11</v>
      </c>
      <c r="B13" t="s">
        <v>27</v>
      </c>
      <c r="C13" s="2" t="s">
        <v>11</v>
      </c>
      <c r="D13" s="7">
        <v>8.518518518518519E-3</v>
      </c>
      <c r="E13">
        <v>1</v>
      </c>
    </row>
    <row r="14" spans="1:10" x14ac:dyDescent="0.35">
      <c r="A14">
        <v>12</v>
      </c>
      <c r="B14" t="s">
        <v>27</v>
      </c>
      <c r="C14" s="2" t="s">
        <v>11</v>
      </c>
      <c r="D14" s="7">
        <v>8.6342592592592599E-3</v>
      </c>
      <c r="E14">
        <v>1</v>
      </c>
    </row>
    <row r="15" spans="1:10" x14ac:dyDescent="0.35">
      <c r="A15">
        <v>13</v>
      </c>
      <c r="B15" t="s">
        <v>27</v>
      </c>
      <c r="C15" s="2" t="s">
        <v>11</v>
      </c>
      <c r="D15" s="7">
        <v>8.7152777777777784E-3</v>
      </c>
      <c r="H15">
        <v>1</v>
      </c>
    </row>
    <row r="16" spans="1:10" x14ac:dyDescent="0.35">
      <c r="A16">
        <v>14</v>
      </c>
      <c r="B16" t="s">
        <v>27</v>
      </c>
      <c r="C16" s="2" t="s">
        <v>11</v>
      </c>
      <c r="D16" s="7">
        <v>8.8541666666666664E-3</v>
      </c>
      <c r="J16">
        <v>1</v>
      </c>
    </row>
    <row r="17" spans="1:10" x14ac:dyDescent="0.35">
      <c r="A17">
        <v>15</v>
      </c>
      <c r="B17" t="s">
        <v>27</v>
      </c>
      <c r="C17" s="2" t="s">
        <v>11</v>
      </c>
      <c r="D17" s="7">
        <v>8.9236111111111113E-3</v>
      </c>
      <c r="J17">
        <v>1</v>
      </c>
    </row>
    <row r="18" spans="1:10" x14ac:dyDescent="0.35">
      <c r="A18">
        <v>16</v>
      </c>
      <c r="B18" t="s">
        <v>27</v>
      </c>
      <c r="C18" s="2" t="s">
        <v>11</v>
      </c>
      <c r="D18" s="7">
        <v>9.0162037037037034E-3</v>
      </c>
      <c r="F18">
        <v>1</v>
      </c>
    </row>
    <row r="19" spans="1:10" x14ac:dyDescent="0.35">
      <c r="A19">
        <v>17</v>
      </c>
      <c r="B19" t="s">
        <v>27</v>
      </c>
      <c r="C19" s="2" t="s">
        <v>11</v>
      </c>
      <c r="D19" s="7">
        <v>9.1203703703703707E-3</v>
      </c>
      <c r="I19">
        <v>1</v>
      </c>
    </row>
    <row r="20" spans="1:10" x14ac:dyDescent="0.35">
      <c r="A20">
        <v>18</v>
      </c>
      <c r="B20" t="s">
        <v>27</v>
      </c>
      <c r="C20" s="2" t="s">
        <v>11</v>
      </c>
      <c r="D20" s="7">
        <v>9.1898148148148156E-3</v>
      </c>
      <c r="H20">
        <v>1</v>
      </c>
    </row>
    <row r="21" spans="1:10" x14ac:dyDescent="0.35">
      <c r="A21">
        <v>19</v>
      </c>
      <c r="B21" t="s">
        <v>27</v>
      </c>
      <c r="C21" s="2" t="s">
        <v>11</v>
      </c>
      <c r="D21" s="7">
        <v>9.2476851851851852E-3</v>
      </c>
      <c r="I21">
        <v>1</v>
      </c>
    </row>
    <row r="22" spans="1:10" x14ac:dyDescent="0.35">
      <c r="A22">
        <v>20</v>
      </c>
      <c r="B22" t="s">
        <v>27</v>
      </c>
      <c r="C22" s="2" t="s">
        <v>11</v>
      </c>
      <c r="D22" s="7">
        <v>9.3287037037037036E-3</v>
      </c>
      <c r="G22">
        <v>1</v>
      </c>
    </row>
    <row r="23" spans="1:10" x14ac:dyDescent="0.35">
      <c r="A23">
        <v>21</v>
      </c>
      <c r="B23" t="s">
        <v>27</v>
      </c>
      <c r="C23" s="2" t="s">
        <v>11</v>
      </c>
      <c r="D23" s="7">
        <v>9.4212962962962957E-3</v>
      </c>
      <c r="I23">
        <v>1</v>
      </c>
    </row>
    <row r="24" spans="1:10" x14ac:dyDescent="0.35">
      <c r="A24">
        <v>22</v>
      </c>
      <c r="B24" t="s">
        <v>27</v>
      </c>
      <c r="C24" s="2" t="s">
        <v>11</v>
      </c>
      <c r="D24" s="7">
        <v>9.5370370370370366E-3</v>
      </c>
      <c r="I24">
        <v>1</v>
      </c>
    </row>
    <row r="25" spans="1:10" x14ac:dyDescent="0.35">
      <c r="A25">
        <v>23</v>
      </c>
      <c r="B25" t="s">
        <v>27</v>
      </c>
      <c r="C25" s="2" t="s">
        <v>11</v>
      </c>
      <c r="D25" s="7">
        <v>9.6643518518518511E-3</v>
      </c>
      <c r="I25">
        <v>1</v>
      </c>
    </row>
    <row r="26" spans="1:10" x14ac:dyDescent="0.35">
      <c r="A26">
        <v>24</v>
      </c>
      <c r="B26" t="s">
        <v>27</v>
      </c>
      <c r="C26" s="2" t="s">
        <v>11</v>
      </c>
    </row>
    <row r="27" spans="1:10" x14ac:dyDescent="0.35">
      <c r="A27">
        <v>25</v>
      </c>
      <c r="B27" t="s">
        <v>27</v>
      </c>
      <c r="C27" s="2" t="s">
        <v>11</v>
      </c>
    </row>
    <row r="28" spans="1:10" x14ac:dyDescent="0.35">
      <c r="A28">
        <v>26</v>
      </c>
      <c r="B28" t="s">
        <v>27</v>
      </c>
      <c r="C28" s="2" t="s">
        <v>11</v>
      </c>
    </row>
    <row r="29" spans="1:10" x14ac:dyDescent="0.35">
      <c r="A29">
        <v>27</v>
      </c>
      <c r="B29" t="s">
        <v>27</v>
      </c>
      <c r="C29" s="2" t="s">
        <v>11</v>
      </c>
    </row>
    <row r="30" spans="1:10" x14ac:dyDescent="0.35">
      <c r="A30">
        <v>28</v>
      </c>
      <c r="B30" t="s">
        <v>27</v>
      </c>
      <c r="C30" s="2" t="s">
        <v>11</v>
      </c>
    </row>
    <row r="31" spans="1:10" x14ac:dyDescent="0.35">
      <c r="A31">
        <v>29</v>
      </c>
      <c r="B31" t="s">
        <v>27</v>
      </c>
      <c r="C31" s="2" t="s">
        <v>11</v>
      </c>
    </row>
    <row r="32" spans="1:10" x14ac:dyDescent="0.35">
      <c r="A32">
        <v>30</v>
      </c>
      <c r="B32" t="s">
        <v>27</v>
      </c>
      <c r="C32" s="2" t="s">
        <v>11</v>
      </c>
    </row>
    <row r="33" spans="1:10" x14ac:dyDescent="0.35">
      <c r="A33">
        <v>31</v>
      </c>
      <c r="B33" t="s">
        <v>27</v>
      </c>
      <c r="C33" s="2" t="s">
        <v>11</v>
      </c>
    </row>
    <row r="36" spans="1:10" x14ac:dyDescent="0.35">
      <c r="C36" s="5" t="s">
        <v>7</v>
      </c>
      <c r="D36" s="6">
        <f>COUNTIF(E3:E33,1)</f>
        <v>5</v>
      </c>
      <c r="E36" s="6">
        <f>COUNTIF(E3:E22,1)</f>
        <v>5</v>
      </c>
    </row>
    <row r="37" spans="1:10" x14ac:dyDescent="0.35">
      <c r="C37" s="5" t="s">
        <v>8</v>
      </c>
      <c r="D37" s="6">
        <f>COUNTIF(E3:E33,1) + COUNTIF(G3:G33,1)</f>
        <v>9</v>
      </c>
      <c r="E37" s="6">
        <f>COUNTIF(E3:E22,1) + COUNTIF(G3:G22,1)</f>
        <v>9</v>
      </c>
    </row>
    <row r="38" spans="1:10" x14ac:dyDescent="0.35">
      <c r="C38" s="5" t="s">
        <v>10</v>
      </c>
      <c r="D38" s="6">
        <f>COUNTIF(F3:F33,1) + COUNTIF(H3:H33,1) + COUNTIF(I3:I33,1) + COUNTIF(J3:J33,1)</f>
        <v>14</v>
      </c>
      <c r="E38" s="6">
        <f>COUNTIF(F3:F22,1) + COUNTIF(H3:H22,1) + COUNTIF(I3:I22,1) + COUNTIF(J3:J22,1)</f>
        <v>11</v>
      </c>
    </row>
    <row r="39" spans="1:10" x14ac:dyDescent="0.35">
      <c r="C39" s="5" t="s">
        <v>9</v>
      </c>
      <c r="D39" s="6">
        <f>COUNTIF(F3:F33,1) + COUNTIF(H3:H33,1)</f>
        <v>3</v>
      </c>
      <c r="E39" s="6">
        <f>COUNTIF(F3:F22,1) + COUNTIF(H3:H22,1)</f>
        <v>3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23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27</v>
      </c>
      <c r="C43" s="4" t="s">
        <v>28</v>
      </c>
    </row>
    <row r="44" spans="1:10" x14ac:dyDescent="0.35">
      <c r="A44">
        <v>2</v>
      </c>
      <c r="B44" t="s">
        <v>27</v>
      </c>
      <c r="C44" s="4" t="s">
        <v>28</v>
      </c>
    </row>
    <row r="45" spans="1:10" x14ac:dyDescent="0.35">
      <c r="A45">
        <v>3</v>
      </c>
      <c r="B45" t="s">
        <v>27</v>
      </c>
      <c r="C45" s="4" t="s">
        <v>28</v>
      </c>
    </row>
    <row r="46" spans="1:10" x14ac:dyDescent="0.35">
      <c r="A46">
        <v>4</v>
      </c>
      <c r="B46" t="s">
        <v>27</v>
      </c>
      <c r="C46" s="4" t="s">
        <v>28</v>
      </c>
    </row>
    <row r="47" spans="1:10" x14ac:dyDescent="0.35">
      <c r="A47">
        <v>5</v>
      </c>
      <c r="B47" t="s">
        <v>27</v>
      </c>
      <c r="C47" s="4" t="s">
        <v>28</v>
      </c>
    </row>
    <row r="48" spans="1:10" x14ac:dyDescent="0.35">
      <c r="A48">
        <v>6</v>
      </c>
      <c r="B48" t="s">
        <v>27</v>
      </c>
      <c r="C48" s="4" t="s">
        <v>28</v>
      </c>
    </row>
    <row r="49" spans="1:3" x14ac:dyDescent="0.35">
      <c r="A49">
        <v>7</v>
      </c>
      <c r="B49" t="s">
        <v>27</v>
      </c>
      <c r="C49" s="4" t="s">
        <v>28</v>
      </c>
    </row>
    <row r="50" spans="1:3" x14ac:dyDescent="0.35">
      <c r="A50">
        <v>8</v>
      </c>
      <c r="B50" t="s">
        <v>27</v>
      </c>
      <c r="C50" s="4" t="s">
        <v>28</v>
      </c>
    </row>
    <row r="51" spans="1:3" x14ac:dyDescent="0.35">
      <c r="A51">
        <v>9</v>
      </c>
      <c r="B51" t="s">
        <v>27</v>
      </c>
      <c r="C51" s="4" t="s">
        <v>28</v>
      </c>
    </row>
    <row r="52" spans="1:3" x14ac:dyDescent="0.35">
      <c r="A52">
        <v>10</v>
      </c>
      <c r="B52" t="s">
        <v>27</v>
      </c>
      <c r="C52" s="4" t="s">
        <v>28</v>
      </c>
    </row>
    <row r="53" spans="1:3" x14ac:dyDescent="0.35">
      <c r="A53">
        <v>11</v>
      </c>
      <c r="B53" t="s">
        <v>27</v>
      </c>
      <c r="C53" s="4" t="s">
        <v>28</v>
      </c>
    </row>
    <row r="54" spans="1:3" x14ac:dyDescent="0.35">
      <c r="A54">
        <v>12</v>
      </c>
      <c r="B54" t="s">
        <v>27</v>
      </c>
      <c r="C54" s="4" t="s">
        <v>28</v>
      </c>
    </row>
    <row r="55" spans="1:3" x14ac:dyDescent="0.35">
      <c r="A55">
        <v>13</v>
      </c>
      <c r="B55" t="s">
        <v>27</v>
      </c>
      <c r="C55" s="4" t="s">
        <v>28</v>
      </c>
    </row>
    <row r="56" spans="1:3" x14ac:dyDescent="0.35">
      <c r="A56">
        <v>14</v>
      </c>
      <c r="B56" t="s">
        <v>27</v>
      </c>
      <c r="C56" s="4" t="s">
        <v>28</v>
      </c>
    </row>
    <row r="57" spans="1:3" x14ac:dyDescent="0.35">
      <c r="A57">
        <v>15</v>
      </c>
      <c r="B57" t="s">
        <v>27</v>
      </c>
      <c r="C57" s="4" t="s">
        <v>28</v>
      </c>
    </row>
    <row r="58" spans="1:3" x14ac:dyDescent="0.35">
      <c r="A58">
        <v>16</v>
      </c>
      <c r="B58" t="s">
        <v>27</v>
      </c>
      <c r="C58" s="4" t="s">
        <v>28</v>
      </c>
    </row>
    <row r="59" spans="1:3" x14ac:dyDescent="0.35">
      <c r="A59">
        <v>17</v>
      </c>
      <c r="B59" t="s">
        <v>27</v>
      </c>
      <c r="C59" s="4" t="s">
        <v>28</v>
      </c>
    </row>
    <row r="60" spans="1:3" x14ac:dyDescent="0.35">
      <c r="A60">
        <v>18</v>
      </c>
      <c r="B60" t="s">
        <v>27</v>
      </c>
      <c r="C60" s="4" t="s">
        <v>28</v>
      </c>
    </row>
    <row r="61" spans="1:3" x14ac:dyDescent="0.35">
      <c r="A61">
        <v>19</v>
      </c>
      <c r="B61" t="s">
        <v>27</v>
      </c>
      <c r="C61" s="4" t="s">
        <v>28</v>
      </c>
    </row>
    <row r="62" spans="1:3" x14ac:dyDescent="0.35">
      <c r="A62">
        <v>20</v>
      </c>
      <c r="B62" t="s">
        <v>27</v>
      </c>
      <c r="C62" s="4" t="s">
        <v>28</v>
      </c>
    </row>
    <row r="63" spans="1:3" x14ac:dyDescent="0.35">
      <c r="A63">
        <v>21</v>
      </c>
      <c r="B63" t="s">
        <v>27</v>
      </c>
      <c r="C63" s="4" t="s">
        <v>28</v>
      </c>
    </row>
    <row r="64" spans="1:3" x14ac:dyDescent="0.35">
      <c r="A64">
        <v>22</v>
      </c>
      <c r="B64" t="s">
        <v>27</v>
      </c>
      <c r="C64" s="4" t="s">
        <v>28</v>
      </c>
    </row>
    <row r="65" spans="1:5" x14ac:dyDescent="0.35">
      <c r="A65">
        <v>23</v>
      </c>
      <c r="B65" t="s">
        <v>27</v>
      </c>
      <c r="C65" s="4" t="s">
        <v>28</v>
      </c>
    </row>
    <row r="66" spans="1:5" x14ac:dyDescent="0.35">
      <c r="A66">
        <v>24</v>
      </c>
      <c r="B66" t="s">
        <v>27</v>
      </c>
      <c r="C66" s="4" t="s">
        <v>28</v>
      </c>
    </row>
    <row r="67" spans="1:5" x14ac:dyDescent="0.35">
      <c r="A67">
        <v>25</v>
      </c>
      <c r="B67" t="s">
        <v>27</v>
      </c>
      <c r="C67" s="4" t="s">
        <v>28</v>
      </c>
    </row>
    <row r="68" spans="1:5" x14ac:dyDescent="0.35">
      <c r="A68">
        <v>26</v>
      </c>
      <c r="B68" t="s">
        <v>27</v>
      </c>
      <c r="C68" s="4" t="s">
        <v>28</v>
      </c>
    </row>
    <row r="69" spans="1:5" x14ac:dyDescent="0.35">
      <c r="A69">
        <v>27</v>
      </c>
      <c r="B69" t="s">
        <v>27</v>
      </c>
      <c r="C69" s="4" t="s">
        <v>28</v>
      </c>
    </row>
    <row r="70" spans="1:5" x14ac:dyDescent="0.35">
      <c r="A70">
        <v>28</v>
      </c>
      <c r="B70" t="s">
        <v>27</v>
      </c>
      <c r="C70" s="4" t="s">
        <v>28</v>
      </c>
    </row>
    <row r="71" spans="1:5" x14ac:dyDescent="0.35">
      <c r="A71">
        <v>29</v>
      </c>
      <c r="B71" t="s">
        <v>27</v>
      </c>
      <c r="C71" s="4" t="s">
        <v>28</v>
      </c>
    </row>
    <row r="72" spans="1:5" x14ac:dyDescent="0.35">
      <c r="A72">
        <v>30</v>
      </c>
      <c r="B72" t="s">
        <v>27</v>
      </c>
      <c r="C72" s="4" t="s">
        <v>28</v>
      </c>
    </row>
    <row r="76" spans="1:5" x14ac:dyDescent="0.35">
      <c r="C76" s="5" t="s">
        <v>7</v>
      </c>
      <c r="D76" s="6">
        <f>COUNTIF(E43:E72,1)</f>
        <v>0</v>
      </c>
      <c r="E76" s="6">
        <f>COUNTIF(E43:E62,1)</f>
        <v>0</v>
      </c>
    </row>
    <row r="77" spans="1:5" x14ac:dyDescent="0.35">
      <c r="C77" s="5" t="s">
        <v>8</v>
      </c>
      <c r="D77" s="6">
        <f>COUNTIF(E43:E72,1) + COUNTIF(G43:G72,1)</f>
        <v>0</v>
      </c>
      <c r="E77" s="6">
        <f>COUNTIF(E43:E62,1) + COUNTIF(G43:G62,1)</f>
        <v>0</v>
      </c>
    </row>
    <row r="78" spans="1:5" x14ac:dyDescent="0.35">
      <c r="C78" s="5" t="s">
        <v>10</v>
      </c>
      <c r="D78" s="6">
        <f>COUNTIF(F43:F72,1) + COUNTIF(H43:H72,1) + COUNTIF(I43:I72,1) + COUNTIF(J43:J72,1)</f>
        <v>0</v>
      </c>
      <c r="E78" s="6">
        <f>COUNTIF(F43:F62,1) + COUNTIF(H43:H62,1) + COUNTIF(I43:I62,1) + COUNTIF(J43:J62,1)</f>
        <v>0</v>
      </c>
    </row>
    <row r="79" spans="1:5" x14ac:dyDescent="0.35">
      <c r="C79" s="5" t="s">
        <v>9</v>
      </c>
      <c r="D79" s="6">
        <f>COUNTIF(F43:F72,1) + COUNTIF(H43:H72,1)</f>
        <v>0</v>
      </c>
      <c r="E79" s="6">
        <f>COUNTIF(F43:F62,1) + COUNTIF(H43:H62,1)</f>
        <v>0</v>
      </c>
    </row>
    <row r="80" spans="1:5" x14ac:dyDescent="0.35">
      <c r="C80" s="5" t="s">
        <v>209</v>
      </c>
      <c r="D80" s="6">
        <f>COUNTIF(F43:F72,1) + COUNTIF(E43:E72,1) + COUNTIF(G43:G72,1) + COUNTIF(H43:H72,1) + COUNTIF(I43:I72,1) + COUNTIF(J43:J72,1)</f>
        <v>0</v>
      </c>
      <c r="E80" s="6">
        <f>COUNTIF(E43:E62,1) + COUNTIF(F43:F62,1) + COUNTIF(G43:G62,1) + COUNTIF(H43:H62,1) + COUNTIF(K43:K62,1) + COUNTIF(J43:J62,1) + COUNTIF(I43:I62,1)</f>
        <v>0</v>
      </c>
    </row>
  </sheetData>
  <phoneticPr fontId="1" type="noConversion"/>
  <conditionalFormatting sqref="E3:E33">
    <cfRule type="cellIs" dxfId="160" priority="7" operator="between">
      <formula>1</formula>
      <formula>1</formula>
    </cfRule>
  </conditionalFormatting>
  <conditionalFormatting sqref="E43:E73">
    <cfRule type="cellIs" dxfId="159" priority="4" operator="between">
      <formula>1</formula>
      <formula>1</formula>
    </cfRule>
  </conditionalFormatting>
  <conditionalFormatting sqref="F3:F33">
    <cfRule type="cellIs" dxfId="158" priority="5" operator="between">
      <formula>1</formula>
      <formula>1</formula>
    </cfRule>
  </conditionalFormatting>
  <conditionalFormatting sqref="F43:F73">
    <cfRule type="cellIs" dxfId="157" priority="3" operator="between">
      <formula>1</formula>
      <formula>1</formula>
    </cfRule>
  </conditionalFormatting>
  <conditionalFormatting sqref="G3:G33">
    <cfRule type="cellIs" dxfId="156" priority="8" operator="between">
      <formula>1</formula>
      <formula>2</formula>
    </cfRule>
  </conditionalFormatting>
  <conditionalFormatting sqref="G43:G73">
    <cfRule type="cellIs" dxfId="155" priority="2" operator="between">
      <formula>1</formula>
      <formula>1</formula>
    </cfRule>
  </conditionalFormatting>
  <conditionalFormatting sqref="H3:J33">
    <cfRule type="cellIs" dxfId="154" priority="6" operator="between">
      <formula>1</formula>
      <formula>1</formula>
    </cfRule>
  </conditionalFormatting>
  <conditionalFormatting sqref="H43:J73">
    <cfRule type="cellIs" dxfId="153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DD9C-BDFE-464E-AD4F-492424F17102}">
  <dimension ref="A2:J80"/>
  <sheetViews>
    <sheetView topLeftCell="B1" zoomScale="88" zoomScaleNormal="88" workbookViewId="0">
      <selection activeCell="E76" sqref="E76: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507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29</v>
      </c>
      <c r="C3" s="2" t="s">
        <v>11</v>
      </c>
      <c r="D3" s="7">
        <v>9.3749999999999997E-4</v>
      </c>
      <c r="I3">
        <v>1</v>
      </c>
    </row>
    <row r="4" spans="1:10" x14ac:dyDescent="0.35">
      <c r="A4">
        <v>2</v>
      </c>
      <c r="B4" t="s">
        <v>29</v>
      </c>
      <c r="C4" s="2" t="s">
        <v>11</v>
      </c>
      <c r="D4" s="7">
        <v>1.4120370370370369E-3</v>
      </c>
      <c r="I4">
        <v>1</v>
      </c>
    </row>
    <row r="5" spans="1:10" x14ac:dyDescent="0.35">
      <c r="A5">
        <v>3</v>
      </c>
      <c r="B5" t="s">
        <v>29</v>
      </c>
      <c r="C5" s="2" t="s">
        <v>11</v>
      </c>
      <c r="D5" s="7">
        <v>2.2337962962962962E-3</v>
      </c>
      <c r="I5">
        <v>1</v>
      </c>
    </row>
    <row r="6" spans="1:10" x14ac:dyDescent="0.35">
      <c r="A6">
        <v>4</v>
      </c>
      <c r="B6" t="s">
        <v>29</v>
      </c>
      <c r="C6" s="2" t="s">
        <v>11</v>
      </c>
      <c r="D6" s="7">
        <v>2.8356481481481483E-3</v>
      </c>
      <c r="I6">
        <v>1</v>
      </c>
    </row>
    <row r="7" spans="1:10" x14ac:dyDescent="0.35">
      <c r="A7">
        <v>5</v>
      </c>
      <c r="B7" t="s">
        <v>29</v>
      </c>
      <c r="C7" s="2" t="s">
        <v>11</v>
      </c>
      <c r="D7" s="7">
        <v>3.0324074074074073E-3</v>
      </c>
      <c r="I7">
        <v>1</v>
      </c>
    </row>
    <row r="8" spans="1:10" x14ac:dyDescent="0.35">
      <c r="A8">
        <v>6</v>
      </c>
      <c r="B8" t="s">
        <v>29</v>
      </c>
      <c r="C8" s="2" t="s">
        <v>11</v>
      </c>
    </row>
    <row r="9" spans="1:10" x14ac:dyDescent="0.35">
      <c r="A9">
        <v>7</v>
      </c>
      <c r="B9" t="s">
        <v>29</v>
      </c>
      <c r="C9" s="2" t="s">
        <v>11</v>
      </c>
    </row>
    <row r="10" spans="1:10" x14ac:dyDescent="0.35">
      <c r="A10">
        <v>8</v>
      </c>
      <c r="B10" t="s">
        <v>29</v>
      </c>
      <c r="C10" s="2" t="s">
        <v>11</v>
      </c>
    </row>
    <row r="11" spans="1:10" x14ac:dyDescent="0.35">
      <c r="A11">
        <v>9</v>
      </c>
      <c r="B11" t="s">
        <v>29</v>
      </c>
      <c r="C11" s="2" t="s">
        <v>11</v>
      </c>
    </row>
    <row r="12" spans="1:10" x14ac:dyDescent="0.35">
      <c r="A12">
        <v>10</v>
      </c>
      <c r="B12" t="s">
        <v>29</v>
      </c>
      <c r="C12" s="2" t="s">
        <v>11</v>
      </c>
    </row>
    <row r="13" spans="1:10" x14ac:dyDescent="0.35">
      <c r="A13">
        <v>11</v>
      </c>
      <c r="B13" t="s">
        <v>29</v>
      </c>
      <c r="C13" s="2" t="s">
        <v>11</v>
      </c>
    </row>
    <row r="14" spans="1:10" x14ac:dyDescent="0.35">
      <c r="A14">
        <v>12</v>
      </c>
      <c r="B14" t="s">
        <v>29</v>
      </c>
      <c r="C14" s="2" t="s">
        <v>11</v>
      </c>
    </row>
    <row r="15" spans="1:10" x14ac:dyDescent="0.35">
      <c r="A15">
        <v>13</v>
      </c>
      <c r="B15" t="s">
        <v>29</v>
      </c>
      <c r="C15" s="2" t="s">
        <v>11</v>
      </c>
    </row>
    <row r="16" spans="1:10" x14ac:dyDescent="0.35">
      <c r="A16">
        <v>14</v>
      </c>
      <c r="B16" t="s">
        <v>29</v>
      </c>
      <c r="C16" s="2" t="s">
        <v>11</v>
      </c>
    </row>
    <row r="17" spans="1:3" x14ac:dyDescent="0.35">
      <c r="A17">
        <v>15</v>
      </c>
      <c r="B17" t="s">
        <v>29</v>
      </c>
      <c r="C17" s="2" t="s">
        <v>11</v>
      </c>
    </row>
    <row r="18" spans="1:3" x14ac:dyDescent="0.35">
      <c r="A18">
        <v>16</v>
      </c>
      <c r="B18" t="s">
        <v>29</v>
      </c>
      <c r="C18" s="2" t="s">
        <v>11</v>
      </c>
    </row>
    <row r="19" spans="1:3" x14ac:dyDescent="0.35">
      <c r="A19">
        <v>17</v>
      </c>
      <c r="B19" t="s">
        <v>29</v>
      </c>
      <c r="C19" s="2" t="s">
        <v>11</v>
      </c>
    </row>
    <row r="20" spans="1:3" x14ac:dyDescent="0.35">
      <c r="A20">
        <v>18</v>
      </c>
      <c r="B20" t="s">
        <v>29</v>
      </c>
      <c r="C20" s="2" t="s">
        <v>11</v>
      </c>
    </row>
    <row r="21" spans="1:3" x14ac:dyDescent="0.35">
      <c r="A21">
        <v>19</v>
      </c>
      <c r="B21" t="s">
        <v>29</v>
      </c>
      <c r="C21" s="2" t="s">
        <v>11</v>
      </c>
    </row>
    <row r="22" spans="1:3" x14ac:dyDescent="0.35">
      <c r="A22">
        <v>20</v>
      </c>
      <c r="B22" t="s">
        <v>29</v>
      </c>
      <c r="C22" s="2" t="s">
        <v>11</v>
      </c>
    </row>
    <row r="23" spans="1:3" x14ac:dyDescent="0.35">
      <c r="A23">
        <v>21</v>
      </c>
      <c r="B23" t="s">
        <v>29</v>
      </c>
      <c r="C23" s="2" t="s">
        <v>11</v>
      </c>
    </row>
    <row r="24" spans="1:3" x14ac:dyDescent="0.35">
      <c r="A24">
        <v>22</v>
      </c>
      <c r="B24" t="s">
        <v>29</v>
      </c>
      <c r="C24" s="2" t="s">
        <v>11</v>
      </c>
    </row>
    <row r="25" spans="1:3" x14ac:dyDescent="0.35">
      <c r="A25">
        <v>23</v>
      </c>
      <c r="B25" t="s">
        <v>29</v>
      </c>
      <c r="C25" s="2" t="s">
        <v>11</v>
      </c>
    </row>
    <row r="26" spans="1:3" x14ac:dyDescent="0.35">
      <c r="A26">
        <v>24</v>
      </c>
      <c r="B26" t="s">
        <v>29</v>
      </c>
      <c r="C26" s="2" t="s">
        <v>11</v>
      </c>
    </row>
    <row r="27" spans="1:3" x14ac:dyDescent="0.35">
      <c r="A27">
        <v>25</v>
      </c>
      <c r="B27" t="s">
        <v>29</v>
      </c>
      <c r="C27" s="2" t="s">
        <v>11</v>
      </c>
    </row>
    <row r="28" spans="1:3" x14ac:dyDescent="0.35">
      <c r="A28">
        <v>26</v>
      </c>
      <c r="B28" t="s">
        <v>29</v>
      </c>
      <c r="C28" s="2" t="s">
        <v>11</v>
      </c>
    </row>
    <row r="29" spans="1:3" x14ac:dyDescent="0.35">
      <c r="A29">
        <v>27</v>
      </c>
      <c r="B29" t="s">
        <v>29</v>
      </c>
      <c r="C29" s="2" t="s">
        <v>11</v>
      </c>
    </row>
    <row r="30" spans="1:3" x14ac:dyDescent="0.35">
      <c r="A30">
        <v>28</v>
      </c>
      <c r="B30" t="s">
        <v>29</v>
      </c>
      <c r="C30" s="2" t="s">
        <v>11</v>
      </c>
    </row>
    <row r="31" spans="1:3" x14ac:dyDescent="0.35">
      <c r="A31">
        <v>29</v>
      </c>
      <c r="B31" t="s">
        <v>29</v>
      </c>
      <c r="C31" s="2" t="s">
        <v>11</v>
      </c>
    </row>
    <row r="32" spans="1:3" x14ac:dyDescent="0.35">
      <c r="A32">
        <v>30</v>
      </c>
      <c r="B32" t="s">
        <v>29</v>
      </c>
      <c r="C32" s="2" t="s">
        <v>11</v>
      </c>
    </row>
    <row r="33" spans="1:10" x14ac:dyDescent="0.35">
      <c r="A33">
        <v>31</v>
      </c>
      <c r="B33" t="s">
        <v>29</v>
      </c>
      <c r="C33" s="2" t="s">
        <v>11</v>
      </c>
    </row>
    <row r="36" spans="1:10" x14ac:dyDescent="0.35">
      <c r="C36" s="5" t="s">
        <v>7</v>
      </c>
      <c r="D36" s="6">
        <f>COUNTIF(E3:E33,1)</f>
        <v>0</v>
      </c>
      <c r="E36" s="6">
        <f>COUNTIF(E3:E22,1)</f>
        <v>0</v>
      </c>
    </row>
    <row r="37" spans="1:10" x14ac:dyDescent="0.35">
      <c r="C37" s="5" t="s">
        <v>8</v>
      </c>
      <c r="D37" s="6">
        <f>COUNTIF(E3:E33,1) + COUNTIF(G3:G33,1)</f>
        <v>0</v>
      </c>
      <c r="E37" s="6">
        <f>COUNTIF(E3:E22,1) + COUNTIF(G3:G22,1)</f>
        <v>0</v>
      </c>
    </row>
    <row r="38" spans="1:10" x14ac:dyDescent="0.35">
      <c r="C38" s="5" t="s">
        <v>10</v>
      </c>
      <c r="D38" s="6">
        <f>COUNTIF(F3:F33,1) + COUNTIF(H3:H33,1) + COUNTIF(I3:I33,1) + COUNTIF(J3:J33,1)</f>
        <v>5</v>
      </c>
      <c r="E38" s="6">
        <f>COUNTIF(F3:F22,1) + COUNTIF(H3:H22,1) + COUNTIF(I3:I22,1) + COUNTIF(J3:J22,1)</f>
        <v>5</v>
      </c>
    </row>
    <row r="39" spans="1:10" x14ac:dyDescent="0.35">
      <c r="C39" s="5" t="s">
        <v>9</v>
      </c>
      <c r="D39" s="6">
        <f>COUNTIF(F3:F33,1) + COUNTIF(H3:H33,1)</f>
        <v>0</v>
      </c>
      <c r="E39" s="6">
        <f>COUNTIF(F3:F22,1) + COUNTIF(H3:H22,1)</f>
        <v>0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5</v>
      </c>
      <c r="E40" s="6">
        <f>COUNTIF(E3:E22,1) + COUNTIF(F3:F22,1) + COUNTIF(G3:G22,1) + COUNTIF(H3:H22,1) + COUNTIF(K3:K22,1) + COUNTIF(J3:J22,1) + COUNTIF(I3:I22,1)</f>
        <v>5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29</v>
      </c>
      <c r="C43" s="4" t="s">
        <v>28</v>
      </c>
    </row>
    <row r="44" spans="1:10" x14ac:dyDescent="0.35">
      <c r="A44">
        <v>2</v>
      </c>
      <c r="B44" t="s">
        <v>29</v>
      </c>
      <c r="C44" s="4" t="s">
        <v>28</v>
      </c>
    </row>
    <row r="45" spans="1:10" x14ac:dyDescent="0.35">
      <c r="A45">
        <v>3</v>
      </c>
      <c r="B45" t="s">
        <v>29</v>
      </c>
      <c r="C45" s="4" t="s">
        <v>28</v>
      </c>
    </row>
    <row r="46" spans="1:10" x14ac:dyDescent="0.35">
      <c r="A46">
        <v>4</v>
      </c>
      <c r="B46" t="s">
        <v>29</v>
      </c>
      <c r="C46" s="4" t="s">
        <v>28</v>
      </c>
    </row>
    <row r="47" spans="1:10" x14ac:dyDescent="0.35">
      <c r="A47">
        <v>5</v>
      </c>
      <c r="B47" t="s">
        <v>29</v>
      </c>
      <c r="C47" s="4" t="s">
        <v>28</v>
      </c>
    </row>
    <row r="48" spans="1:10" x14ac:dyDescent="0.35">
      <c r="A48">
        <v>6</v>
      </c>
      <c r="B48" t="s">
        <v>29</v>
      </c>
      <c r="C48" s="4" t="s">
        <v>28</v>
      </c>
    </row>
    <row r="49" spans="1:3" x14ac:dyDescent="0.35">
      <c r="A49">
        <v>7</v>
      </c>
      <c r="B49" t="s">
        <v>29</v>
      </c>
      <c r="C49" s="4" t="s">
        <v>28</v>
      </c>
    </row>
    <row r="50" spans="1:3" x14ac:dyDescent="0.35">
      <c r="A50">
        <v>8</v>
      </c>
      <c r="B50" t="s">
        <v>29</v>
      </c>
      <c r="C50" s="4" t="s">
        <v>28</v>
      </c>
    </row>
    <row r="51" spans="1:3" x14ac:dyDescent="0.35">
      <c r="A51">
        <v>9</v>
      </c>
      <c r="B51" t="s">
        <v>29</v>
      </c>
      <c r="C51" s="4" t="s">
        <v>28</v>
      </c>
    </row>
    <row r="52" spans="1:3" x14ac:dyDescent="0.35">
      <c r="A52">
        <v>10</v>
      </c>
      <c r="B52" t="s">
        <v>29</v>
      </c>
      <c r="C52" s="4" t="s">
        <v>28</v>
      </c>
    </row>
    <row r="53" spans="1:3" x14ac:dyDescent="0.35">
      <c r="A53">
        <v>11</v>
      </c>
      <c r="B53" t="s">
        <v>29</v>
      </c>
      <c r="C53" s="4" t="s">
        <v>28</v>
      </c>
    </row>
    <row r="54" spans="1:3" x14ac:dyDescent="0.35">
      <c r="A54">
        <v>12</v>
      </c>
      <c r="B54" t="s">
        <v>29</v>
      </c>
      <c r="C54" s="4" t="s">
        <v>28</v>
      </c>
    </row>
    <row r="55" spans="1:3" x14ac:dyDescent="0.35">
      <c r="A55">
        <v>13</v>
      </c>
      <c r="B55" t="s">
        <v>29</v>
      </c>
      <c r="C55" s="4" t="s">
        <v>28</v>
      </c>
    </row>
    <row r="56" spans="1:3" x14ac:dyDescent="0.35">
      <c r="A56">
        <v>14</v>
      </c>
      <c r="B56" t="s">
        <v>29</v>
      </c>
      <c r="C56" s="4" t="s">
        <v>28</v>
      </c>
    </row>
    <row r="57" spans="1:3" x14ac:dyDescent="0.35">
      <c r="A57">
        <v>15</v>
      </c>
      <c r="B57" t="s">
        <v>29</v>
      </c>
      <c r="C57" s="4" t="s">
        <v>28</v>
      </c>
    </row>
    <row r="58" spans="1:3" x14ac:dyDescent="0.35">
      <c r="A58">
        <v>16</v>
      </c>
      <c r="B58" t="s">
        <v>29</v>
      </c>
      <c r="C58" s="4" t="s">
        <v>28</v>
      </c>
    </row>
    <row r="59" spans="1:3" x14ac:dyDescent="0.35">
      <c r="A59">
        <v>17</v>
      </c>
      <c r="B59" t="s">
        <v>29</v>
      </c>
      <c r="C59" s="4" t="s">
        <v>28</v>
      </c>
    </row>
    <row r="60" spans="1:3" x14ac:dyDescent="0.35">
      <c r="A60">
        <v>18</v>
      </c>
      <c r="B60" t="s">
        <v>29</v>
      </c>
      <c r="C60" s="4" t="s">
        <v>28</v>
      </c>
    </row>
    <row r="61" spans="1:3" x14ac:dyDescent="0.35">
      <c r="A61">
        <v>19</v>
      </c>
      <c r="B61" t="s">
        <v>29</v>
      </c>
      <c r="C61" s="4" t="s">
        <v>28</v>
      </c>
    </row>
    <row r="62" spans="1:3" x14ac:dyDescent="0.35">
      <c r="A62">
        <v>20</v>
      </c>
      <c r="B62" t="s">
        <v>29</v>
      </c>
      <c r="C62" s="4" t="s">
        <v>28</v>
      </c>
    </row>
    <row r="63" spans="1:3" x14ac:dyDescent="0.35">
      <c r="A63">
        <v>21</v>
      </c>
      <c r="B63" t="s">
        <v>29</v>
      </c>
      <c r="C63" s="4" t="s">
        <v>28</v>
      </c>
    </row>
    <row r="64" spans="1:3" x14ac:dyDescent="0.35">
      <c r="A64">
        <v>22</v>
      </c>
      <c r="B64" t="s">
        <v>29</v>
      </c>
      <c r="C64" s="4" t="s">
        <v>28</v>
      </c>
    </row>
    <row r="65" spans="1:5" x14ac:dyDescent="0.35">
      <c r="A65">
        <v>23</v>
      </c>
      <c r="B65" t="s">
        <v>29</v>
      </c>
      <c r="C65" s="4" t="s">
        <v>28</v>
      </c>
    </row>
    <row r="66" spans="1:5" x14ac:dyDescent="0.35">
      <c r="A66">
        <v>24</v>
      </c>
      <c r="B66" t="s">
        <v>29</v>
      </c>
      <c r="C66" s="4" t="s">
        <v>28</v>
      </c>
    </row>
    <row r="67" spans="1:5" x14ac:dyDescent="0.35">
      <c r="A67">
        <v>25</v>
      </c>
      <c r="B67" t="s">
        <v>29</v>
      </c>
      <c r="C67" s="4" t="s">
        <v>28</v>
      </c>
    </row>
    <row r="68" spans="1:5" x14ac:dyDescent="0.35">
      <c r="A68">
        <v>26</v>
      </c>
      <c r="B68" t="s">
        <v>29</v>
      </c>
      <c r="C68" s="4" t="s">
        <v>28</v>
      </c>
    </row>
    <row r="69" spans="1:5" x14ac:dyDescent="0.35">
      <c r="A69">
        <v>27</v>
      </c>
      <c r="B69" t="s">
        <v>29</v>
      </c>
      <c r="C69" s="4" t="s">
        <v>28</v>
      </c>
    </row>
    <row r="70" spans="1:5" x14ac:dyDescent="0.35">
      <c r="A70">
        <v>28</v>
      </c>
      <c r="B70" t="s">
        <v>29</v>
      </c>
      <c r="C70" s="4" t="s">
        <v>28</v>
      </c>
    </row>
    <row r="71" spans="1:5" x14ac:dyDescent="0.35">
      <c r="A71">
        <v>29</v>
      </c>
      <c r="B71" t="s">
        <v>29</v>
      </c>
      <c r="C71" s="4" t="s">
        <v>28</v>
      </c>
    </row>
    <row r="72" spans="1:5" x14ac:dyDescent="0.35">
      <c r="A72">
        <v>30</v>
      </c>
      <c r="B72" t="s">
        <v>29</v>
      </c>
      <c r="C72" s="4" t="s">
        <v>28</v>
      </c>
    </row>
    <row r="76" spans="1:5" x14ac:dyDescent="0.35">
      <c r="C76" s="5" t="s">
        <v>7</v>
      </c>
      <c r="D76" s="6">
        <f>COUNTIF(E43:E72,1)</f>
        <v>0</v>
      </c>
      <c r="E76" s="6">
        <f>COUNTIF(E43:E62,1)</f>
        <v>0</v>
      </c>
    </row>
    <row r="77" spans="1:5" x14ac:dyDescent="0.35">
      <c r="C77" s="5" t="s">
        <v>8</v>
      </c>
      <c r="D77" s="6">
        <f>COUNTIF(E43:E72,1) + COUNTIF(G43:G72,1)</f>
        <v>0</v>
      </c>
      <c r="E77" s="6">
        <f>COUNTIF(E43:E62,1) + COUNTIF(G43:G62,1)</f>
        <v>0</v>
      </c>
    </row>
    <row r="78" spans="1:5" x14ac:dyDescent="0.35">
      <c r="C78" s="5" t="s">
        <v>10</v>
      </c>
      <c r="D78" s="6">
        <f>COUNTIF(F43:F72,1) + COUNTIF(H43:H72,1) + COUNTIF(I43:I72,1) + COUNTIF(J43:J72,1)</f>
        <v>0</v>
      </c>
      <c r="E78" s="6">
        <f>COUNTIF(F43:F62,1) + COUNTIF(H43:H62,1) + COUNTIF(I43:I62,1) + COUNTIF(J43:J62,1)</f>
        <v>0</v>
      </c>
    </row>
    <row r="79" spans="1:5" x14ac:dyDescent="0.35">
      <c r="C79" s="5" t="s">
        <v>9</v>
      </c>
      <c r="D79" s="6">
        <f>COUNTIF(F43:F72,1) + COUNTIF(H43:H72,1)</f>
        <v>0</v>
      </c>
      <c r="E79" s="6">
        <f>COUNTIF(F43:F62,1) + COUNTIF(H43:H62,1)</f>
        <v>0</v>
      </c>
    </row>
    <row r="80" spans="1:5" x14ac:dyDescent="0.35">
      <c r="C80" s="5" t="s">
        <v>209</v>
      </c>
      <c r="D80" s="6">
        <f>COUNTIF(F43:F72,1) + COUNTIF(E43:E72,1) + COUNTIF(G43:G72,1) + COUNTIF(H43:H72,1) + COUNTIF(I43:I72,1) + COUNTIF(J43:J72,1)</f>
        <v>0</v>
      </c>
      <c r="E80" s="6">
        <f>COUNTIF(E43:E62,1) + COUNTIF(F43:F62,1) + COUNTIF(G43:G62,1) + COUNTIF(H43:H62,1) + COUNTIF(K43:K62,1) + COUNTIF(J43:J62,1) + COUNTIF(I43:I62,1)</f>
        <v>0</v>
      </c>
    </row>
  </sheetData>
  <phoneticPr fontId="1" type="noConversion"/>
  <conditionalFormatting sqref="E3:E33">
    <cfRule type="cellIs" dxfId="152" priority="7" operator="between">
      <formula>1</formula>
      <formula>1</formula>
    </cfRule>
  </conditionalFormatting>
  <conditionalFormatting sqref="E43:E73">
    <cfRule type="cellIs" dxfId="151" priority="4" operator="between">
      <formula>1</formula>
      <formula>1</formula>
    </cfRule>
  </conditionalFormatting>
  <conditionalFormatting sqref="F3:F33">
    <cfRule type="cellIs" dxfId="150" priority="5" operator="between">
      <formula>1</formula>
      <formula>1</formula>
    </cfRule>
  </conditionalFormatting>
  <conditionalFormatting sqref="F43:F73">
    <cfRule type="cellIs" dxfId="149" priority="3" operator="between">
      <formula>1</formula>
      <formula>1</formula>
    </cfRule>
  </conditionalFormatting>
  <conditionalFormatting sqref="G3:G33">
    <cfRule type="cellIs" dxfId="148" priority="8" operator="between">
      <formula>1</formula>
      <formula>2</formula>
    </cfRule>
  </conditionalFormatting>
  <conditionalFormatting sqref="G43:G73">
    <cfRule type="cellIs" dxfId="147" priority="2" operator="between">
      <formula>1</formula>
      <formula>1</formula>
    </cfRule>
  </conditionalFormatting>
  <conditionalFormatting sqref="H3:J33">
    <cfRule type="cellIs" dxfId="146" priority="6" operator="between">
      <formula>1</formula>
      <formula>1</formula>
    </cfRule>
  </conditionalFormatting>
  <conditionalFormatting sqref="H43:J73">
    <cfRule type="cellIs" dxfId="145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0B8F-2D44-4100-9227-A33CDEFF29D9}">
  <dimension ref="A2:J80"/>
  <sheetViews>
    <sheetView topLeftCell="A46" zoomScale="88" zoomScaleNormal="88" workbookViewId="0">
      <selection activeCell="B43" sqref="B43:B72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29</v>
      </c>
      <c r="C3" s="2" t="s">
        <v>11</v>
      </c>
    </row>
    <row r="4" spans="1:10" x14ac:dyDescent="0.35">
      <c r="A4">
        <v>2</v>
      </c>
      <c r="B4" t="s">
        <v>29</v>
      </c>
      <c r="C4" s="2" t="s">
        <v>11</v>
      </c>
    </row>
    <row r="5" spans="1:10" x14ac:dyDescent="0.35">
      <c r="A5">
        <v>3</v>
      </c>
      <c r="B5" t="s">
        <v>29</v>
      </c>
      <c r="C5" s="2" t="s">
        <v>11</v>
      </c>
    </row>
    <row r="6" spans="1:10" x14ac:dyDescent="0.35">
      <c r="A6">
        <v>4</v>
      </c>
      <c r="B6" t="s">
        <v>29</v>
      </c>
      <c r="C6" s="2" t="s">
        <v>11</v>
      </c>
    </row>
    <row r="7" spans="1:10" x14ac:dyDescent="0.35">
      <c r="A7">
        <v>5</v>
      </c>
      <c r="B7" t="s">
        <v>29</v>
      </c>
      <c r="C7" s="2" t="s">
        <v>11</v>
      </c>
    </row>
    <row r="8" spans="1:10" x14ac:dyDescent="0.35">
      <c r="A8">
        <v>6</v>
      </c>
      <c r="B8" t="s">
        <v>29</v>
      </c>
      <c r="C8" s="2" t="s">
        <v>11</v>
      </c>
    </row>
    <row r="9" spans="1:10" x14ac:dyDescent="0.35">
      <c r="A9">
        <v>7</v>
      </c>
      <c r="B9" t="s">
        <v>29</v>
      </c>
      <c r="C9" s="2" t="s">
        <v>11</v>
      </c>
    </row>
    <row r="10" spans="1:10" x14ac:dyDescent="0.35">
      <c r="A10">
        <v>8</v>
      </c>
      <c r="B10" t="s">
        <v>29</v>
      </c>
      <c r="C10" s="2" t="s">
        <v>11</v>
      </c>
    </row>
    <row r="11" spans="1:10" x14ac:dyDescent="0.35">
      <c r="A11">
        <v>9</v>
      </c>
      <c r="B11" t="s">
        <v>29</v>
      </c>
      <c r="C11" s="2" t="s">
        <v>11</v>
      </c>
    </row>
    <row r="12" spans="1:10" x14ac:dyDescent="0.35">
      <c r="A12">
        <v>10</v>
      </c>
      <c r="B12" t="s">
        <v>29</v>
      </c>
      <c r="C12" s="2" t="s">
        <v>11</v>
      </c>
    </row>
    <row r="13" spans="1:10" x14ac:dyDescent="0.35">
      <c r="A13">
        <v>11</v>
      </c>
      <c r="B13" t="s">
        <v>29</v>
      </c>
      <c r="C13" s="2" t="s">
        <v>11</v>
      </c>
    </row>
    <row r="14" spans="1:10" x14ac:dyDescent="0.35">
      <c r="A14">
        <v>12</v>
      </c>
      <c r="B14" t="s">
        <v>29</v>
      </c>
      <c r="C14" s="2" t="s">
        <v>11</v>
      </c>
    </row>
    <row r="15" spans="1:10" x14ac:dyDescent="0.35">
      <c r="A15">
        <v>13</v>
      </c>
      <c r="B15" t="s">
        <v>29</v>
      </c>
      <c r="C15" s="2" t="s">
        <v>11</v>
      </c>
    </row>
    <row r="16" spans="1:10" x14ac:dyDescent="0.35">
      <c r="A16">
        <v>14</v>
      </c>
      <c r="B16" t="s">
        <v>29</v>
      </c>
      <c r="C16" s="2" t="s">
        <v>11</v>
      </c>
    </row>
    <row r="17" spans="1:3" x14ac:dyDescent="0.35">
      <c r="A17">
        <v>15</v>
      </c>
      <c r="B17" t="s">
        <v>29</v>
      </c>
      <c r="C17" s="2" t="s">
        <v>11</v>
      </c>
    </row>
    <row r="18" spans="1:3" x14ac:dyDescent="0.35">
      <c r="A18">
        <v>16</v>
      </c>
      <c r="B18" t="s">
        <v>29</v>
      </c>
      <c r="C18" s="2" t="s">
        <v>11</v>
      </c>
    </row>
    <row r="19" spans="1:3" x14ac:dyDescent="0.35">
      <c r="A19">
        <v>17</v>
      </c>
      <c r="B19" t="s">
        <v>29</v>
      </c>
      <c r="C19" s="2" t="s">
        <v>11</v>
      </c>
    </row>
    <row r="20" spans="1:3" x14ac:dyDescent="0.35">
      <c r="A20">
        <v>18</v>
      </c>
      <c r="B20" t="s">
        <v>29</v>
      </c>
      <c r="C20" s="2" t="s">
        <v>11</v>
      </c>
    </row>
    <row r="21" spans="1:3" x14ac:dyDescent="0.35">
      <c r="A21">
        <v>19</v>
      </c>
      <c r="B21" t="s">
        <v>29</v>
      </c>
      <c r="C21" s="2" t="s">
        <v>11</v>
      </c>
    </row>
    <row r="22" spans="1:3" x14ac:dyDescent="0.35">
      <c r="A22">
        <v>20</v>
      </c>
      <c r="B22" t="s">
        <v>29</v>
      </c>
      <c r="C22" s="2" t="s">
        <v>11</v>
      </c>
    </row>
    <row r="23" spans="1:3" x14ac:dyDescent="0.35">
      <c r="A23">
        <v>21</v>
      </c>
      <c r="B23" t="s">
        <v>29</v>
      </c>
      <c r="C23" s="2" t="s">
        <v>11</v>
      </c>
    </row>
    <row r="24" spans="1:3" x14ac:dyDescent="0.35">
      <c r="A24">
        <v>22</v>
      </c>
      <c r="B24" t="s">
        <v>29</v>
      </c>
      <c r="C24" s="2" t="s">
        <v>11</v>
      </c>
    </row>
    <row r="25" spans="1:3" x14ac:dyDescent="0.35">
      <c r="A25">
        <v>23</v>
      </c>
      <c r="B25" t="s">
        <v>29</v>
      </c>
      <c r="C25" s="2" t="s">
        <v>11</v>
      </c>
    </row>
    <row r="26" spans="1:3" x14ac:dyDescent="0.35">
      <c r="A26">
        <v>24</v>
      </c>
      <c r="B26" t="s">
        <v>29</v>
      </c>
      <c r="C26" s="2" t="s">
        <v>11</v>
      </c>
    </row>
    <row r="27" spans="1:3" x14ac:dyDescent="0.35">
      <c r="A27">
        <v>25</v>
      </c>
      <c r="B27" t="s">
        <v>29</v>
      </c>
      <c r="C27" s="2" t="s">
        <v>11</v>
      </c>
    </row>
    <row r="28" spans="1:3" x14ac:dyDescent="0.35">
      <c r="A28">
        <v>26</v>
      </c>
      <c r="B28" t="s">
        <v>29</v>
      </c>
      <c r="C28" s="2" t="s">
        <v>11</v>
      </c>
    </row>
    <row r="29" spans="1:3" x14ac:dyDescent="0.35">
      <c r="A29">
        <v>27</v>
      </c>
      <c r="B29" t="s">
        <v>29</v>
      </c>
      <c r="C29" s="2" t="s">
        <v>11</v>
      </c>
    </row>
    <row r="30" spans="1:3" x14ac:dyDescent="0.35">
      <c r="A30">
        <v>28</v>
      </c>
      <c r="B30" t="s">
        <v>29</v>
      </c>
      <c r="C30" s="2" t="s">
        <v>11</v>
      </c>
    </row>
    <row r="31" spans="1:3" x14ac:dyDescent="0.35">
      <c r="A31">
        <v>29</v>
      </c>
      <c r="B31" t="s">
        <v>29</v>
      </c>
      <c r="C31" s="2" t="s">
        <v>11</v>
      </c>
    </row>
    <row r="32" spans="1:3" x14ac:dyDescent="0.35">
      <c r="A32">
        <v>30</v>
      </c>
      <c r="B32" t="s">
        <v>29</v>
      </c>
      <c r="C32" s="2" t="s">
        <v>11</v>
      </c>
    </row>
    <row r="33" spans="1:10" x14ac:dyDescent="0.35">
      <c r="A33">
        <v>31</v>
      </c>
      <c r="B33" t="s">
        <v>29</v>
      </c>
      <c r="C33" s="2" t="s">
        <v>11</v>
      </c>
    </row>
    <row r="36" spans="1:10" x14ac:dyDescent="0.35">
      <c r="C36" s="5" t="s">
        <v>7</v>
      </c>
      <c r="D36" s="6">
        <f>COUNTIF(E3:E33,1)</f>
        <v>0</v>
      </c>
    </row>
    <row r="37" spans="1:10" x14ac:dyDescent="0.35">
      <c r="C37" s="5" t="s">
        <v>8</v>
      </c>
      <c r="D37" s="6">
        <f>COUNTIF(E3:E33,1) + COUNTIF(G3:G33,1)</f>
        <v>0</v>
      </c>
    </row>
    <row r="38" spans="1:10" x14ac:dyDescent="0.35">
      <c r="C38" s="5" t="s">
        <v>10</v>
      </c>
      <c r="D38" s="6">
        <f>COUNTIF(F3:F33,1) + COUNTIF(H3:H33,1) + COUNTIF(I3:I33,1) + COUNTIF(J3:J33,1)</f>
        <v>0</v>
      </c>
    </row>
    <row r="39" spans="1:10" x14ac:dyDescent="0.35">
      <c r="C39" s="5" t="s">
        <v>9</v>
      </c>
      <c r="D39" s="6">
        <f>COUNTIF(F3:F33,1) + COUNTIF(H3:H33,1)</f>
        <v>0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29</v>
      </c>
      <c r="C43" s="4" t="s">
        <v>28</v>
      </c>
    </row>
    <row r="44" spans="1:10" x14ac:dyDescent="0.35">
      <c r="A44">
        <v>2</v>
      </c>
      <c r="B44" t="s">
        <v>29</v>
      </c>
      <c r="C44" s="4" t="s">
        <v>28</v>
      </c>
    </row>
    <row r="45" spans="1:10" x14ac:dyDescent="0.35">
      <c r="A45">
        <v>3</v>
      </c>
      <c r="B45" t="s">
        <v>29</v>
      </c>
      <c r="C45" s="4" t="s">
        <v>28</v>
      </c>
    </row>
    <row r="46" spans="1:10" x14ac:dyDescent="0.35">
      <c r="A46">
        <v>4</v>
      </c>
      <c r="B46" t="s">
        <v>29</v>
      </c>
      <c r="C46" s="4" t="s">
        <v>28</v>
      </c>
    </row>
    <row r="47" spans="1:10" x14ac:dyDescent="0.35">
      <c r="A47">
        <v>5</v>
      </c>
      <c r="B47" t="s">
        <v>29</v>
      </c>
      <c r="C47" s="4" t="s">
        <v>28</v>
      </c>
    </row>
    <row r="48" spans="1:10" x14ac:dyDescent="0.35">
      <c r="A48">
        <v>6</v>
      </c>
      <c r="B48" t="s">
        <v>29</v>
      </c>
      <c r="C48" s="4" t="s">
        <v>28</v>
      </c>
    </row>
    <row r="49" spans="1:3" x14ac:dyDescent="0.35">
      <c r="A49">
        <v>7</v>
      </c>
      <c r="B49" t="s">
        <v>29</v>
      </c>
      <c r="C49" s="4" t="s">
        <v>28</v>
      </c>
    </row>
    <row r="50" spans="1:3" x14ac:dyDescent="0.35">
      <c r="A50">
        <v>8</v>
      </c>
      <c r="B50" t="s">
        <v>29</v>
      </c>
      <c r="C50" s="4" t="s">
        <v>28</v>
      </c>
    </row>
    <row r="51" spans="1:3" x14ac:dyDescent="0.35">
      <c r="A51">
        <v>9</v>
      </c>
      <c r="B51" t="s">
        <v>29</v>
      </c>
      <c r="C51" s="4" t="s">
        <v>28</v>
      </c>
    </row>
    <row r="52" spans="1:3" x14ac:dyDescent="0.35">
      <c r="A52">
        <v>10</v>
      </c>
      <c r="B52" t="s">
        <v>29</v>
      </c>
      <c r="C52" s="4" t="s">
        <v>28</v>
      </c>
    </row>
    <row r="53" spans="1:3" x14ac:dyDescent="0.35">
      <c r="A53">
        <v>11</v>
      </c>
      <c r="B53" t="s">
        <v>29</v>
      </c>
      <c r="C53" s="4" t="s">
        <v>28</v>
      </c>
    </row>
    <row r="54" spans="1:3" x14ac:dyDescent="0.35">
      <c r="A54">
        <v>12</v>
      </c>
      <c r="B54" t="s">
        <v>29</v>
      </c>
      <c r="C54" s="4" t="s">
        <v>28</v>
      </c>
    </row>
    <row r="55" spans="1:3" x14ac:dyDescent="0.35">
      <c r="A55">
        <v>13</v>
      </c>
      <c r="B55" t="s">
        <v>29</v>
      </c>
      <c r="C55" s="4" t="s">
        <v>28</v>
      </c>
    </row>
    <row r="56" spans="1:3" x14ac:dyDescent="0.35">
      <c r="A56">
        <v>14</v>
      </c>
      <c r="B56" t="s">
        <v>29</v>
      </c>
      <c r="C56" s="4" t="s">
        <v>28</v>
      </c>
    </row>
    <row r="57" spans="1:3" x14ac:dyDescent="0.35">
      <c r="A57">
        <v>15</v>
      </c>
      <c r="B57" t="s">
        <v>29</v>
      </c>
      <c r="C57" s="4" t="s">
        <v>28</v>
      </c>
    </row>
    <row r="58" spans="1:3" x14ac:dyDescent="0.35">
      <c r="A58">
        <v>16</v>
      </c>
      <c r="B58" t="s">
        <v>29</v>
      </c>
      <c r="C58" s="4" t="s">
        <v>28</v>
      </c>
    </row>
    <row r="59" spans="1:3" x14ac:dyDescent="0.35">
      <c r="A59">
        <v>17</v>
      </c>
      <c r="B59" t="s">
        <v>29</v>
      </c>
      <c r="C59" s="4" t="s">
        <v>28</v>
      </c>
    </row>
    <row r="60" spans="1:3" x14ac:dyDescent="0.35">
      <c r="A60">
        <v>18</v>
      </c>
      <c r="B60" t="s">
        <v>29</v>
      </c>
      <c r="C60" s="4" t="s">
        <v>28</v>
      </c>
    </row>
    <row r="61" spans="1:3" x14ac:dyDescent="0.35">
      <c r="A61">
        <v>19</v>
      </c>
      <c r="B61" t="s">
        <v>29</v>
      </c>
      <c r="C61" s="4" t="s">
        <v>28</v>
      </c>
    </row>
    <row r="62" spans="1:3" x14ac:dyDescent="0.35">
      <c r="A62">
        <v>20</v>
      </c>
      <c r="B62" t="s">
        <v>29</v>
      </c>
      <c r="C62" s="4" t="s">
        <v>28</v>
      </c>
    </row>
    <row r="63" spans="1:3" x14ac:dyDescent="0.35">
      <c r="A63">
        <v>21</v>
      </c>
      <c r="B63" t="s">
        <v>29</v>
      </c>
      <c r="C63" s="4" t="s">
        <v>28</v>
      </c>
    </row>
    <row r="64" spans="1:3" x14ac:dyDescent="0.35">
      <c r="A64">
        <v>22</v>
      </c>
      <c r="B64" t="s">
        <v>29</v>
      </c>
      <c r="C64" s="4" t="s">
        <v>28</v>
      </c>
    </row>
    <row r="65" spans="1:4" x14ac:dyDescent="0.35">
      <c r="A65">
        <v>23</v>
      </c>
      <c r="B65" t="s">
        <v>29</v>
      </c>
      <c r="C65" s="4" t="s">
        <v>28</v>
      </c>
    </row>
    <row r="66" spans="1:4" x14ac:dyDescent="0.35">
      <c r="A66">
        <v>24</v>
      </c>
      <c r="B66" t="s">
        <v>29</v>
      </c>
      <c r="C66" s="4" t="s">
        <v>28</v>
      </c>
    </row>
    <row r="67" spans="1:4" x14ac:dyDescent="0.35">
      <c r="A67">
        <v>25</v>
      </c>
      <c r="B67" t="s">
        <v>29</v>
      </c>
      <c r="C67" s="4" t="s">
        <v>28</v>
      </c>
    </row>
    <row r="68" spans="1:4" x14ac:dyDescent="0.35">
      <c r="A68">
        <v>26</v>
      </c>
      <c r="B68" t="s">
        <v>29</v>
      </c>
      <c r="C68" s="4" t="s">
        <v>28</v>
      </c>
    </row>
    <row r="69" spans="1:4" x14ac:dyDescent="0.35">
      <c r="A69">
        <v>27</v>
      </c>
      <c r="B69" t="s">
        <v>29</v>
      </c>
      <c r="C69" s="4" t="s">
        <v>28</v>
      </c>
    </row>
    <row r="70" spans="1:4" x14ac:dyDescent="0.35">
      <c r="A70">
        <v>28</v>
      </c>
      <c r="B70" t="s">
        <v>29</v>
      </c>
      <c r="C70" s="4" t="s">
        <v>28</v>
      </c>
    </row>
    <row r="71" spans="1:4" x14ac:dyDescent="0.35">
      <c r="A71">
        <v>29</v>
      </c>
      <c r="B71" t="s">
        <v>29</v>
      </c>
      <c r="C71" s="4" t="s">
        <v>28</v>
      </c>
    </row>
    <row r="72" spans="1:4" x14ac:dyDescent="0.35">
      <c r="A72">
        <v>30</v>
      </c>
      <c r="B72" t="s">
        <v>29</v>
      </c>
      <c r="C72" s="4" t="s">
        <v>28</v>
      </c>
    </row>
    <row r="76" spans="1:4" x14ac:dyDescent="0.35">
      <c r="C76" s="5" t="s">
        <v>7</v>
      </c>
      <c r="D76" s="6">
        <f>COUNTIF(E43:E72,1)</f>
        <v>0</v>
      </c>
    </row>
    <row r="77" spans="1:4" x14ac:dyDescent="0.35">
      <c r="C77" s="5" t="s">
        <v>8</v>
      </c>
      <c r="D77" s="6">
        <f>COUNTIF(E43:E72,1) + COUNTIF(G43:G72,1)</f>
        <v>0</v>
      </c>
    </row>
    <row r="78" spans="1:4" x14ac:dyDescent="0.35">
      <c r="C78" s="5" t="s">
        <v>10</v>
      </c>
      <c r="D78" s="6">
        <f>COUNTIF(F43:F72,1) + COUNTIF(H43:H72,1) + COUNTIF(I43:I72,1) + COUNTIF(J43:J72,1)</f>
        <v>0</v>
      </c>
    </row>
    <row r="79" spans="1:4" x14ac:dyDescent="0.35">
      <c r="C79" s="5" t="s">
        <v>9</v>
      </c>
      <c r="D79" s="6">
        <f>COUNTIF(F43:F72,1) + COUNTIF(H43:H72,1)</f>
        <v>0</v>
      </c>
    </row>
    <row r="80" spans="1:4" x14ac:dyDescent="0.35">
      <c r="C80" s="5" t="s">
        <v>209</v>
      </c>
      <c r="D80" s="6">
        <f>COUNTIF(F43:F72,1) + COUNTIF(E43:E72,1) + COUNTIF(G43:G72,1) + COUNTIF(H43:H72,1) + COUNTIF(I43:I72,1) + COUNTIF(J43:J72,1)</f>
        <v>0</v>
      </c>
    </row>
  </sheetData>
  <conditionalFormatting sqref="E3:E33">
    <cfRule type="cellIs" dxfId="144" priority="7" operator="between">
      <formula>1</formula>
      <formula>1</formula>
    </cfRule>
  </conditionalFormatting>
  <conditionalFormatting sqref="E43:E73">
    <cfRule type="cellIs" dxfId="143" priority="4" operator="between">
      <formula>1</formula>
      <formula>1</formula>
    </cfRule>
  </conditionalFormatting>
  <conditionalFormatting sqref="F3:F33">
    <cfRule type="cellIs" dxfId="142" priority="5" operator="between">
      <formula>1</formula>
      <formula>1</formula>
    </cfRule>
  </conditionalFormatting>
  <conditionalFormatting sqref="F43:F73">
    <cfRule type="cellIs" dxfId="141" priority="3" operator="between">
      <formula>1</formula>
      <formula>1</formula>
    </cfRule>
  </conditionalFormatting>
  <conditionalFormatting sqref="G3:G33">
    <cfRule type="cellIs" dxfId="140" priority="8" operator="between">
      <formula>1</formula>
      <formula>2</formula>
    </cfRule>
  </conditionalFormatting>
  <conditionalFormatting sqref="G43:G73">
    <cfRule type="cellIs" dxfId="139" priority="2" operator="between">
      <formula>1</formula>
      <formula>1</formula>
    </cfRule>
  </conditionalFormatting>
  <conditionalFormatting sqref="H3:J33">
    <cfRule type="cellIs" dxfId="138" priority="6" operator="between">
      <formula>1</formula>
      <formula>1</formula>
    </cfRule>
  </conditionalFormatting>
  <conditionalFormatting sqref="H43:J73">
    <cfRule type="cellIs" dxfId="137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74C4-1CDD-40F9-AD36-C96A51FFDB7E}">
  <dimension ref="A2:J79"/>
  <sheetViews>
    <sheetView topLeftCell="A65" zoomScale="90" zoomScaleNormal="90" workbookViewId="0">
      <selection activeCell="E80" sqref="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12.4531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30</v>
      </c>
      <c r="C3" s="2" t="s">
        <v>11</v>
      </c>
      <c r="D3">
        <v>100622706</v>
      </c>
      <c r="E3" s="1">
        <v>1</v>
      </c>
    </row>
    <row r="4" spans="1:10" x14ac:dyDescent="0.35">
      <c r="A4">
        <v>2</v>
      </c>
      <c r="B4" t="s">
        <v>30</v>
      </c>
      <c r="C4" s="2" t="s">
        <v>11</v>
      </c>
      <c r="D4">
        <v>100641376</v>
      </c>
      <c r="G4">
        <v>1</v>
      </c>
    </row>
    <row r="5" spans="1:10" x14ac:dyDescent="0.35">
      <c r="A5">
        <v>3</v>
      </c>
      <c r="B5" t="s">
        <v>30</v>
      </c>
      <c r="C5" s="2" t="s">
        <v>11</v>
      </c>
      <c r="D5">
        <v>100706647</v>
      </c>
      <c r="E5" s="1">
        <v>1</v>
      </c>
    </row>
    <row r="6" spans="1:10" x14ac:dyDescent="0.35">
      <c r="A6">
        <v>4</v>
      </c>
      <c r="B6" t="s">
        <v>30</v>
      </c>
      <c r="C6" s="2" t="s">
        <v>11</v>
      </c>
      <c r="D6">
        <v>100843554</v>
      </c>
      <c r="E6" s="1">
        <v>1</v>
      </c>
    </row>
    <row r="7" spans="1:10" x14ac:dyDescent="0.35">
      <c r="A7">
        <v>5</v>
      </c>
      <c r="B7" t="s">
        <v>30</v>
      </c>
      <c r="C7" s="2" t="s">
        <v>11</v>
      </c>
      <c r="D7">
        <v>100916605</v>
      </c>
      <c r="I7">
        <v>1</v>
      </c>
    </row>
    <row r="8" spans="1:10" x14ac:dyDescent="0.35">
      <c r="A8">
        <v>6</v>
      </c>
      <c r="B8" t="s">
        <v>30</v>
      </c>
      <c r="C8" s="2" t="s">
        <v>11</v>
      </c>
      <c r="D8">
        <v>100937854</v>
      </c>
      <c r="E8" s="1">
        <v>1</v>
      </c>
    </row>
    <row r="9" spans="1:10" x14ac:dyDescent="0.35">
      <c r="A9">
        <v>7</v>
      </c>
      <c r="B9" t="s">
        <v>30</v>
      </c>
      <c r="C9" s="2" t="s">
        <v>11</v>
      </c>
      <c r="D9">
        <v>100954644</v>
      </c>
      <c r="I9">
        <v>1</v>
      </c>
    </row>
    <row r="10" spans="1:10" x14ac:dyDescent="0.35">
      <c r="A10">
        <v>8</v>
      </c>
      <c r="B10" t="s">
        <v>30</v>
      </c>
      <c r="C10" s="2" t="s">
        <v>11</v>
      </c>
      <c r="D10">
        <v>101025548</v>
      </c>
      <c r="E10" s="1">
        <v>1</v>
      </c>
    </row>
    <row r="11" spans="1:10" x14ac:dyDescent="0.35">
      <c r="A11">
        <v>9</v>
      </c>
      <c r="B11" t="s">
        <v>30</v>
      </c>
      <c r="C11" s="2" t="s">
        <v>11</v>
      </c>
      <c r="D11">
        <v>101109273</v>
      </c>
      <c r="I11">
        <v>1</v>
      </c>
    </row>
    <row r="12" spans="1:10" x14ac:dyDescent="0.35">
      <c r="A12">
        <v>10</v>
      </c>
      <c r="B12" t="s">
        <v>30</v>
      </c>
      <c r="C12" s="2" t="s">
        <v>11</v>
      </c>
      <c r="D12">
        <v>101130698</v>
      </c>
      <c r="I12">
        <v>1</v>
      </c>
    </row>
    <row r="13" spans="1:10" x14ac:dyDescent="0.35">
      <c r="A13">
        <v>11</v>
      </c>
      <c r="B13" t="s">
        <v>30</v>
      </c>
      <c r="C13" s="2" t="s">
        <v>11</v>
      </c>
      <c r="D13">
        <v>101147484</v>
      </c>
      <c r="I13">
        <v>1</v>
      </c>
    </row>
    <row r="14" spans="1:10" x14ac:dyDescent="0.35">
      <c r="A14">
        <v>12</v>
      </c>
      <c r="B14" t="s">
        <v>30</v>
      </c>
      <c r="C14" s="2" t="s">
        <v>11</v>
      </c>
      <c r="D14">
        <v>101218873</v>
      </c>
      <c r="E14" s="1">
        <v>1</v>
      </c>
    </row>
    <row r="15" spans="1:10" x14ac:dyDescent="0.35">
      <c r="A15">
        <v>13</v>
      </c>
      <c r="B15" t="s">
        <v>30</v>
      </c>
      <c r="C15" s="2" t="s">
        <v>11</v>
      </c>
      <c r="D15">
        <v>101229281</v>
      </c>
      <c r="E15" s="1">
        <v>1</v>
      </c>
    </row>
    <row r="16" spans="1:10" x14ac:dyDescent="0.35">
      <c r="A16">
        <v>14</v>
      </c>
      <c r="B16" t="s">
        <v>30</v>
      </c>
      <c r="C16" s="2" t="s">
        <v>11</v>
      </c>
      <c r="D16">
        <v>101242188</v>
      </c>
      <c r="G16">
        <v>1</v>
      </c>
    </row>
    <row r="17" spans="1:9" x14ac:dyDescent="0.35">
      <c r="A17">
        <v>15</v>
      </c>
      <c r="B17" t="s">
        <v>30</v>
      </c>
      <c r="C17" s="2" t="s">
        <v>11</v>
      </c>
      <c r="D17">
        <v>101256983</v>
      </c>
      <c r="E17" s="1">
        <v>1</v>
      </c>
    </row>
    <row r="18" spans="1:9" x14ac:dyDescent="0.35">
      <c r="A18">
        <v>16</v>
      </c>
      <c r="B18" t="s">
        <v>30</v>
      </c>
      <c r="C18" s="2" t="s">
        <v>11</v>
      </c>
      <c r="D18">
        <v>101322191</v>
      </c>
      <c r="G18">
        <v>1</v>
      </c>
    </row>
    <row r="19" spans="1:9" x14ac:dyDescent="0.35">
      <c r="A19">
        <v>17</v>
      </c>
      <c r="B19" t="s">
        <v>30</v>
      </c>
      <c r="C19" s="2" t="s">
        <v>11</v>
      </c>
      <c r="D19">
        <v>101334691</v>
      </c>
      <c r="G19">
        <v>1</v>
      </c>
    </row>
    <row r="20" spans="1:9" x14ac:dyDescent="0.35">
      <c r="A20">
        <v>18</v>
      </c>
      <c r="B20" t="s">
        <v>30</v>
      </c>
      <c r="C20" s="2" t="s">
        <v>11</v>
      </c>
      <c r="D20">
        <v>101346337</v>
      </c>
      <c r="E20" s="1">
        <v>1</v>
      </c>
    </row>
    <row r="21" spans="1:9" x14ac:dyDescent="0.35">
      <c r="A21">
        <v>19</v>
      </c>
      <c r="B21" t="s">
        <v>30</v>
      </c>
      <c r="C21" s="2" t="s">
        <v>11</v>
      </c>
      <c r="D21">
        <v>101408495</v>
      </c>
      <c r="E21" s="1">
        <v>1</v>
      </c>
    </row>
    <row r="22" spans="1:9" x14ac:dyDescent="0.35">
      <c r="A22">
        <v>20</v>
      </c>
      <c r="B22" t="s">
        <v>30</v>
      </c>
      <c r="C22" s="2" t="s">
        <v>11</v>
      </c>
      <c r="D22">
        <v>101420748</v>
      </c>
      <c r="E22" s="1">
        <v>1</v>
      </c>
    </row>
    <row r="23" spans="1:9" x14ac:dyDescent="0.35">
      <c r="A23">
        <v>21</v>
      </c>
      <c r="B23" t="s">
        <v>30</v>
      </c>
      <c r="C23" s="2" t="s">
        <v>11</v>
      </c>
      <c r="D23">
        <v>101438487</v>
      </c>
      <c r="E23" s="1">
        <v>1</v>
      </c>
    </row>
    <row r="24" spans="1:9" x14ac:dyDescent="0.35">
      <c r="A24">
        <v>22</v>
      </c>
      <c r="B24" t="s">
        <v>30</v>
      </c>
      <c r="C24" s="2" t="s">
        <v>11</v>
      </c>
      <c r="D24">
        <v>101459957</v>
      </c>
      <c r="E24" s="1">
        <v>1</v>
      </c>
    </row>
    <row r="25" spans="1:9" x14ac:dyDescent="0.35">
      <c r="A25">
        <v>23</v>
      </c>
      <c r="B25" t="s">
        <v>30</v>
      </c>
      <c r="C25" s="2" t="s">
        <v>11</v>
      </c>
      <c r="D25">
        <v>101520544</v>
      </c>
      <c r="I25">
        <v>1</v>
      </c>
    </row>
    <row r="26" spans="1:9" x14ac:dyDescent="0.35">
      <c r="A26">
        <v>24</v>
      </c>
      <c r="B26" t="s">
        <v>30</v>
      </c>
      <c r="C26" s="2" t="s">
        <v>11</v>
      </c>
      <c r="D26">
        <v>101535354</v>
      </c>
      <c r="E26" s="1">
        <v>1</v>
      </c>
    </row>
    <row r="27" spans="1:9" x14ac:dyDescent="0.35">
      <c r="A27">
        <v>25</v>
      </c>
      <c r="B27" t="s">
        <v>30</v>
      </c>
      <c r="C27" s="2" t="s">
        <v>11</v>
      </c>
      <c r="D27">
        <v>101547939</v>
      </c>
      <c r="E27" s="1">
        <v>1</v>
      </c>
    </row>
    <row r="28" spans="1:9" x14ac:dyDescent="0.35">
      <c r="A28">
        <v>26</v>
      </c>
      <c r="B28" t="s">
        <v>30</v>
      </c>
      <c r="C28" s="2" t="s">
        <v>11</v>
      </c>
      <c r="D28">
        <v>101556441</v>
      </c>
      <c r="E28" s="1">
        <v>1</v>
      </c>
    </row>
    <row r="29" spans="1:9" x14ac:dyDescent="0.35">
      <c r="A29">
        <v>27</v>
      </c>
      <c r="B29" t="s">
        <v>30</v>
      </c>
      <c r="C29" s="2" t="s">
        <v>11</v>
      </c>
      <c r="D29">
        <v>101613510</v>
      </c>
      <c r="E29" s="1">
        <v>1</v>
      </c>
    </row>
    <row r="30" spans="1:9" x14ac:dyDescent="0.35">
      <c r="A30">
        <v>28</v>
      </c>
      <c r="B30" t="s">
        <v>30</v>
      </c>
      <c r="C30" s="2" t="s">
        <v>11</v>
      </c>
      <c r="D30">
        <v>101640313</v>
      </c>
      <c r="G30">
        <v>1</v>
      </c>
    </row>
    <row r="31" spans="1:9" x14ac:dyDescent="0.35">
      <c r="A31">
        <v>29</v>
      </c>
      <c r="B31" t="s">
        <v>30</v>
      </c>
      <c r="C31" s="2" t="s">
        <v>11</v>
      </c>
      <c r="D31">
        <v>101726610</v>
      </c>
      <c r="I31">
        <v>1</v>
      </c>
    </row>
    <row r="32" spans="1:9" x14ac:dyDescent="0.35">
      <c r="A32">
        <v>30</v>
      </c>
      <c r="B32" t="s">
        <v>30</v>
      </c>
      <c r="C32" s="2" t="s">
        <v>11</v>
      </c>
      <c r="D32">
        <v>101740712</v>
      </c>
      <c r="E32" s="1">
        <v>1</v>
      </c>
    </row>
    <row r="33" spans="1:10" x14ac:dyDescent="0.35">
      <c r="A33">
        <v>31</v>
      </c>
      <c r="B33" t="s">
        <v>30</v>
      </c>
      <c r="C33" s="2" t="s">
        <v>11</v>
      </c>
      <c r="D33">
        <v>101801233</v>
      </c>
      <c r="E33" s="1">
        <v>1</v>
      </c>
    </row>
    <row r="36" spans="1:10" x14ac:dyDescent="0.35">
      <c r="C36" s="5" t="s">
        <v>7</v>
      </c>
      <c r="D36" s="6">
        <f>COUNTIF(E3:E33,1)</f>
        <v>19</v>
      </c>
      <c r="E36" s="6">
        <f>COUNTIF(E3:E22,1)</f>
        <v>11</v>
      </c>
    </row>
    <row r="37" spans="1:10" x14ac:dyDescent="0.35">
      <c r="C37" s="5" t="s">
        <v>8</v>
      </c>
      <c r="D37" s="6">
        <f>COUNTIF(E3:E33,1) + COUNTIF(G3:G33,1)</f>
        <v>24</v>
      </c>
      <c r="E37" s="6">
        <f>COUNTIF(E3:E22,1) + COUNTIF(G3:G22,1)</f>
        <v>15</v>
      </c>
    </row>
    <row r="38" spans="1:10" x14ac:dyDescent="0.35">
      <c r="C38" s="5" t="s">
        <v>10</v>
      </c>
      <c r="D38" s="6">
        <f>COUNTIF(F3:F33,1) + COUNTIF(H3:H33,1) + COUNTIF(I3:I33,1) + COUNTIF(J3:J33,1)</f>
        <v>7</v>
      </c>
      <c r="E38" s="6">
        <f>COUNTIF(F3:F22,1) + COUNTIF(H3:H22,1) + COUNTIF(I3:I22,1) + COUNTIF(J3:J22,1)</f>
        <v>5</v>
      </c>
    </row>
    <row r="39" spans="1:10" x14ac:dyDescent="0.35">
      <c r="C39" s="5" t="s">
        <v>9</v>
      </c>
      <c r="D39" s="6">
        <f>COUNTIF(F3:F33,1) + COUNTIF(H3:H33,1)</f>
        <v>0</v>
      </c>
      <c r="E39" s="6">
        <f>COUNTIF(F3:F22,1) + COUNTIF(H3:H22,1)</f>
        <v>0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31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30</v>
      </c>
      <c r="C43" t="s">
        <v>28</v>
      </c>
      <c r="D43">
        <v>100027139</v>
      </c>
      <c r="F43">
        <v>1</v>
      </c>
    </row>
    <row r="44" spans="1:10" x14ac:dyDescent="0.35">
      <c r="A44">
        <v>2</v>
      </c>
      <c r="B44" t="s">
        <v>30</v>
      </c>
      <c r="C44" t="s">
        <v>28</v>
      </c>
      <c r="D44" s="3">
        <v>100050615</v>
      </c>
      <c r="I44">
        <v>1</v>
      </c>
    </row>
    <row r="45" spans="1:10" x14ac:dyDescent="0.35">
      <c r="A45">
        <v>3</v>
      </c>
      <c r="B45" t="s">
        <v>30</v>
      </c>
      <c r="C45" t="s">
        <v>28</v>
      </c>
      <c r="D45">
        <v>100115863</v>
      </c>
      <c r="I45">
        <v>1</v>
      </c>
    </row>
    <row r="46" spans="1:10" x14ac:dyDescent="0.35">
      <c r="A46">
        <v>4</v>
      </c>
      <c r="B46" t="s">
        <v>30</v>
      </c>
      <c r="C46" t="s">
        <v>28</v>
      </c>
      <c r="D46">
        <v>100139618</v>
      </c>
      <c r="G46">
        <v>1</v>
      </c>
    </row>
    <row r="47" spans="1:10" x14ac:dyDescent="0.35">
      <c r="A47">
        <v>5</v>
      </c>
      <c r="B47" t="s">
        <v>30</v>
      </c>
      <c r="C47" t="s">
        <v>28</v>
      </c>
      <c r="D47">
        <v>100203150</v>
      </c>
      <c r="I47">
        <v>1</v>
      </c>
    </row>
    <row r="48" spans="1:10" x14ac:dyDescent="0.35">
      <c r="A48">
        <v>6</v>
      </c>
      <c r="B48" t="s">
        <v>30</v>
      </c>
      <c r="C48" t="s">
        <v>28</v>
      </c>
      <c r="D48">
        <v>100238913</v>
      </c>
      <c r="I48">
        <v>1</v>
      </c>
    </row>
    <row r="49" spans="1:9" x14ac:dyDescent="0.35">
      <c r="A49">
        <v>7</v>
      </c>
      <c r="B49" t="s">
        <v>30</v>
      </c>
      <c r="C49" t="s">
        <v>28</v>
      </c>
      <c r="D49">
        <v>100310452</v>
      </c>
      <c r="G49">
        <v>1</v>
      </c>
    </row>
    <row r="50" spans="1:9" x14ac:dyDescent="0.35">
      <c r="A50">
        <v>8</v>
      </c>
      <c r="B50" t="s">
        <v>30</v>
      </c>
      <c r="C50" t="s">
        <v>28</v>
      </c>
      <c r="D50">
        <v>100326038</v>
      </c>
      <c r="E50">
        <v>1</v>
      </c>
    </row>
    <row r="51" spans="1:9" x14ac:dyDescent="0.35">
      <c r="A51">
        <v>9</v>
      </c>
      <c r="B51" t="s">
        <v>30</v>
      </c>
      <c r="C51" t="s">
        <v>28</v>
      </c>
      <c r="D51">
        <v>100339795</v>
      </c>
      <c r="E51">
        <v>1</v>
      </c>
    </row>
    <row r="52" spans="1:9" x14ac:dyDescent="0.35">
      <c r="A52">
        <v>10</v>
      </c>
      <c r="B52" t="s">
        <v>30</v>
      </c>
      <c r="C52" t="s">
        <v>28</v>
      </c>
      <c r="D52">
        <v>100406624</v>
      </c>
      <c r="E52">
        <v>1</v>
      </c>
    </row>
    <row r="53" spans="1:9" x14ac:dyDescent="0.35">
      <c r="A53">
        <v>11</v>
      </c>
      <c r="B53" t="s">
        <v>30</v>
      </c>
      <c r="C53" t="s">
        <v>28</v>
      </c>
      <c r="D53">
        <v>100424585</v>
      </c>
      <c r="E53">
        <v>1</v>
      </c>
    </row>
    <row r="54" spans="1:9" x14ac:dyDescent="0.35">
      <c r="A54">
        <v>12</v>
      </c>
      <c r="B54" t="s">
        <v>30</v>
      </c>
      <c r="C54" t="s">
        <v>28</v>
      </c>
      <c r="D54">
        <v>100440390</v>
      </c>
      <c r="I54">
        <v>1</v>
      </c>
    </row>
    <row r="55" spans="1:9" x14ac:dyDescent="0.35">
      <c r="A55">
        <v>13</v>
      </c>
      <c r="B55" t="s">
        <v>30</v>
      </c>
      <c r="C55" t="s">
        <v>28</v>
      </c>
      <c r="D55">
        <v>100451684</v>
      </c>
      <c r="I55">
        <v>1</v>
      </c>
    </row>
    <row r="56" spans="1:9" x14ac:dyDescent="0.35">
      <c r="A56">
        <v>14</v>
      </c>
      <c r="B56" t="s">
        <v>30</v>
      </c>
      <c r="C56" t="s">
        <v>28</v>
      </c>
      <c r="D56">
        <v>100513774</v>
      </c>
      <c r="E56">
        <v>1</v>
      </c>
    </row>
    <row r="57" spans="1:9" x14ac:dyDescent="0.35">
      <c r="A57">
        <v>15</v>
      </c>
      <c r="B57" t="s">
        <v>30</v>
      </c>
      <c r="C57" t="s">
        <v>28</v>
      </c>
      <c r="D57">
        <v>100559141</v>
      </c>
      <c r="E57">
        <v>1</v>
      </c>
    </row>
    <row r="58" spans="1:9" x14ac:dyDescent="0.35">
      <c r="A58">
        <v>16</v>
      </c>
      <c r="B58" t="s">
        <v>30</v>
      </c>
      <c r="C58" t="s">
        <v>28</v>
      </c>
      <c r="D58">
        <v>100620689</v>
      </c>
      <c r="F58">
        <v>1</v>
      </c>
    </row>
    <row r="59" spans="1:9" x14ac:dyDescent="0.35">
      <c r="A59">
        <v>17</v>
      </c>
      <c r="B59" t="s">
        <v>30</v>
      </c>
      <c r="C59" t="s">
        <v>28</v>
      </c>
      <c r="D59">
        <v>100634790</v>
      </c>
      <c r="F59">
        <v>1</v>
      </c>
    </row>
    <row r="60" spans="1:9" x14ac:dyDescent="0.35">
      <c r="A60">
        <v>18</v>
      </c>
      <c r="B60" t="s">
        <v>30</v>
      </c>
      <c r="C60" t="s">
        <v>28</v>
      </c>
      <c r="D60">
        <v>100701280</v>
      </c>
      <c r="F60">
        <v>1</v>
      </c>
    </row>
    <row r="61" spans="1:9" x14ac:dyDescent="0.35">
      <c r="A61">
        <v>19</v>
      </c>
      <c r="B61" t="s">
        <v>30</v>
      </c>
      <c r="C61" t="s">
        <v>28</v>
      </c>
      <c r="D61">
        <v>100714223</v>
      </c>
      <c r="I61">
        <v>1</v>
      </c>
    </row>
    <row r="62" spans="1:9" x14ac:dyDescent="0.35">
      <c r="A62">
        <v>20</v>
      </c>
      <c r="B62" t="s">
        <v>30</v>
      </c>
      <c r="C62" t="s">
        <v>28</v>
      </c>
      <c r="D62">
        <v>100742741</v>
      </c>
      <c r="E62">
        <v>1</v>
      </c>
    </row>
    <row r="63" spans="1:9" x14ac:dyDescent="0.35">
      <c r="A63">
        <v>21</v>
      </c>
      <c r="B63" t="s">
        <v>30</v>
      </c>
      <c r="C63" t="s">
        <v>28</v>
      </c>
      <c r="D63">
        <v>100816304</v>
      </c>
      <c r="E63">
        <v>1</v>
      </c>
    </row>
    <row r="64" spans="1:9" x14ac:dyDescent="0.35">
      <c r="A64">
        <v>22</v>
      </c>
      <c r="B64" t="s">
        <v>30</v>
      </c>
      <c r="C64" t="s">
        <v>28</v>
      </c>
      <c r="D64">
        <v>100827922</v>
      </c>
      <c r="F64">
        <v>1</v>
      </c>
    </row>
    <row r="65" spans="1:9" x14ac:dyDescent="0.35">
      <c r="A65">
        <v>23</v>
      </c>
      <c r="B65" t="s">
        <v>30</v>
      </c>
      <c r="C65" t="s">
        <v>28</v>
      </c>
      <c r="D65">
        <v>100844999</v>
      </c>
      <c r="I65">
        <v>1</v>
      </c>
    </row>
    <row r="66" spans="1:9" x14ac:dyDescent="0.35">
      <c r="A66">
        <v>24</v>
      </c>
      <c r="B66" t="s">
        <v>30</v>
      </c>
      <c r="C66" t="s">
        <v>28</v>
      </c>
      <c r="D66">
        <v>100907722</v>
      </c>
      <c r="I66">
        <v>1</v>
      </c>
    </row>
    <row r="67" spans="1:9" x14ac:dyDescent="0.35">
      <c r="A67">
        <v>25</v>
      </c>
      <c r="B67" t="s">
        <v>30</v>
      </c>
      <c r="C67" t="s">
        <v>28</v>
      </c>
      <c r="D67">
        <v>100925907</v>
      </c>
      <c r="E67">
        <v>1</v>
      </c>
    </row>
    <row r="68" spans="1:9" x14ac:dyDescent="0.35">
      <c r="A68">
        <v>26</v>
      </c>
      <c r="B68" t="s">
        <v>30</v>
      </c>
      <c r="C68" t="s">
        <v>28</v>
      </c>
      <c r="D68">
        <v>100943421</v>
      </c>
      <c r="I68">
        <v>1</v>
      </c>
    </row>
    <row r="69" spans="1:9" x14ac:dyDescent="0.35">
      <c r="A69">
        <v>27</v>
      </c>
      <c r="B69" t="s">
        <v>30</v>
      </c>
      <c r="C69" t="s">
        <v>28</v>
      </c>
      <c r="D69">
        <v>100954123</v>
      </c>
      <c r="I69">
        <v>1</v>
      </c>
    </row>
    <row r="70" spans="1:9" x14ac:dyDescent="0.35">
      <c r="A70">
        <v>28</v>
      </c>
      <c r="B70" t="s">
        <v>30</v>
      </c>
      <c r="C70" t="s">
        <v>28</v>
      </c>
      <c r="D70" s="3">
        <v>101007552</v>
      </c>
      <c r="I70">
        <v>1</v>
      </c>
    </row>
    <row r="71" spans="1:9" x14ac:dyDescent="0.35">
      <c r="A71">
        <v>29</v>
      </c>
      <c r="B71" t="s">
        <v>30</v>
      </c>
      <c r="C71" t="s">
        <v>28</v>
      </c>
      <c r="D71">
        <v>101021267</v>
      </c>
      <c r="E71">
        <v>1</v>
      </c>
    </row>
    <row r="72" spans="1:9" x14ac:dyDescent="0.35">
      <c r="A72">
        <v>30</v>
      </c>
      <c r="B72" t="s">
        <v>30</v>
      </c>
      <c r="C72" t="s">
        <v>28</v>
      </c>
      <c r="D72">
        <v>101032330</v>
      </c>
      <c r="I72">
        <v>1</v>
      </c>
    </row>
    <row r="75" spans="1:9" x14ac:dyDescent="0.35">
      <c r="C75" s="5" t="s">
        <v>7</v>
      </c>
      <c r="D75" s="6">
        <f>COUNTIF(E43:E72,1)</f>
        <v>10</v>
      </c>
      <c r="E75" s="6">
        <f>COUNTIF(E43:E62,1)</f>
        <v>7</v>
      </c>
    </row>
    <row r="76" spans="1:9" x14ac:dyDescent="0.35">
      <c r="C76" s="5" t="s">
        <v>8</v>
      </c>
      <c r="D76" s="6">
        <f>COUNTIF(E43:E72,1) + COUNTIF(G43:G72,1)</f>
        <v>12</v>
      </c>
      <c r="E76" s="6">
        <f>COUNTIF(E43:E62,1) + COUNTIF(G43:G62,1)</f>
        <v>9</v>
      </c>
    </row>
    <row r="77" spans="1:9" x14ac:dyDescent="0.35">
      <c r="C77" s="5" t="s">
        <v>10</v>
      </c>
      <c r="D77" s="6">
        <f>COUNTIF(F43:F72,1) + COUNTIF(H43:H72,1) + COUNTIF(I43:I72,1) + COUNTIF(J43:J72,1)</f>
        <v>18</v>
      </c>
      <c r="E77" s="6">
        <f>COUNTIF(F43:F62,1) + COUNTIF(H43:H62,1) + COUNTIF(I43:I62,1) + COUNTIF(J43:J62,1)</f>
        <v>11</v>
      </c>
    </row>
    <row r="78" spans="1:9" x14ac:dyDescent="0.35">
      <c r="C78" s="5" t="s">
        <v>9</v>
      </c>
      <c r="D78" s="6">
        <f>COUNTIF(F43:F72,1) + COUNTIF(H43:H72,1)</f>
        <v>5</v>
      </c>
      <c r="E78" s="6">
        <f>COUNTIF(F43:F62,1) + COUNTIF(H43:H62,1)</f>
        <v>4</v>
      </c>
    </row>
    <row r="79" spans="1:9" x14ac:dyDescent="0.35">
      <c r="C79" s="5" t="s">
        <v>209</v>
      </c>
      <c r="D79" s="6">
        <f>COUNTIF(F43:F72,1) + COUNTIF(E43:E72,1) + COUNTIF(G43:G72,1) + COUNTIF(H43:H72,1) + COUNTIF(I43:I72,1) + COUNTIF(J42:J72,1)</f>
        <v>30</v>
      </c>
      <c r="E79" s="6">
        <f>COUNTIF(E43:E62,1) + COUNTIF(F43:F62,1) + COUNTIF(G43:G62,1) + COUNTIF(H43:H62,1) + COUNTIF(K43:K62,1) + COUNTIF(J43:J62,1) + COUNTIF(I43:I62,1)</f>
        <v>20</v>
      </c>
    </row>
  </sheetData>
  <phoneticPr fontId="1" type="noConversion"/>
  <conditionalFormatting sqref="E3:E33">
    <cfRule type="cellIs" dxfId="136" priority="8" operator="between">
      <formula>1</formula>
      <formula>1</formula>
    </cfRule>
  </conditionalFormatting>
  <conditionalFormatting sqref="E43:E73">
    <cfRule type="cellIs" dxfId="135" priority="4" operator="between">
      <formula>1</formula>
      <formula>1</formula>
    </cfRule>
  </conditionalFormatting>
  <conditionalFormatting sqref="F3:F33">
    <cfRule type="cellIs" dxfId="134" priority="5" operator="between">
      <formula>1</formula>
      <formula>1</formula>
    </cfRule>
  </conditionalFormatting>
  <conditionalFormatting sqref="F43:F73">
    <cfRule type="cellIs" dxfId="133" priority="3" operator="between">
      <formula>1</formula>
      <formula>1</formula>
    </cfRule>
  </conditionalFormatting>
  <conditionalFormatting sqref="G3:G33">
    <cfRule type="cellIs" dxfId="132" priority="9" operator="between">
      <formula>1</formula>
      <formula>2</formula>
    </cfRule>
  </conditionalFormatting>
  <conditionalFormatting sqref="G43:G73">
    <cfRule type="cellIs" dxfId="131" priority="2" operator="between">
      <formula>1</formula>
      <formula>1</formula>
    </cfRule>
  </conditionalFormatting>
  <conditionalFormatting sqref="H3:J33">
    <cfRule type="cellIs" dxfId="130" priority="6" operator="between">
      <formula>1</formula>
      <formula>1</formula>
    </cfRule>
  </conditionalFormatting>
  <conditionalFormatting sqref="H43:J73">
    <cfRule type="cellIs" dxfId="129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2687-A86C-40F2-AE42-3D0357F24721}">
  <dimension ref="A2:J79"/>
  <sheetViews>
    <sheetView topLeftCell="A67" zoomScale="90" zoomScaleNormal="90" workbookViewId="0">
      <selection activeCell="E75" sqref="E75"/>
    </sheetView>
  </sheetViews>
  <sheetFormatPr defaultRowHeight="14.5" x14ac:dyDescent="0.35"/>
  <cols>
    <col min="1" max="1" width="7.26953125" bestFit="1" customWidth="1"/>
    <col min="2" max="2" width="6.453125" bestFit="1" customWidth="1"/>
    <col min="3" max="3" width="15.453125" bestFit="1" customWidth="1"/>
    <col min="4" max="4" width="51.453125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31</v>
      </c>
      <c r="C3" s="2" t="s">
        <v>11</v>
      </c>
      <c r="D3" t="s">
        <v>32</v>
      </c>
      <c r="I3">
        <v>1</v>
      </c>
    </row>
    <row r="4" spans="1:10" x14ac:dyDescent="0.35">
      <c r="A4">
        <v>2</v>
      </c>
      <c r="B4" t="s">
        <v>31</v>
      </c>
      <c r="C4" s="2" t="s">
        <v>11</v>
      </c>
      <c r="D4" t="s">
        <v>33</v>
      </c>
      <c r="H4">
        <v>1</v>
      </c>
    </row>
    <row r="5" spans="1:10" x14ac:dyDescent="0.35">
      <c r="A5">
        <v>3</v>
      </c>
      <c r="B5" t="s">
        <v>31</v>
      </c>
      <c r="C5" s="2" t="s">
        <v>11</v>
      </c>
      <c r="D5" t="s">
        <v>34</v>
      </c>
      <c r="I5">
        <v>1</v>
      </c>
    </row>
    <row r="6" spans="1:10" x14ac:dyDescent="0.35">
      <c r="A6">
        <v>4</v>
      </c>
      <c r="B6" t="s">
        <v>31</v>
      </c>
      <c r="C6" s="2" t="s">
        <v>11</v>
      </c>
      <c r="D6" t="s">
        <v>35</v>
      </c>
      <c r="I6">
        <v>1</v>
      </c>
    </row>
    <row r="7" spans="1:10" x14ac:dyDescent="0.35">
      <c r="A7">
        <v>5</v>
      </c>
      <c r="B7" t="s">
        <v>31</v>
      </c>
      <c r="C7" s="2" t="s">
        <v>11</v>
      </c>
      <c r="D7" t="s">
        <v>36</v>
      </c>
      <c r="I7">
        <v>1</v>
      </c>
    </row>
    <row r="8" spans="1:10" x14ac:dyDescent="0.35">
      <c r="A8">
        <v>6</v>
      </c>
      <c r="B8" t="s">
        <v>31</v>
      </c>
      <c r="C8" s="2" t="s">
        <v>11</v>
      </c>
      <c r="D8" t="s">
        <v>37</v>
      </c>
      <c r="E8">
        <v>1</v>
      </c>
    </row>
    <row r="9" spans="1:10" x14ac:dyDescent="0.35">
      <c r="A9">
        <v>7</v>
      </c>
      <c r="B9" t="s">
        <v>31</v>
      </c>
      <c r="C9" s="2" t="s">
        <v>11</v>
      </c>
      <c r="D9" s="3" t="s">
        <v>38</v>
      </c>
    </row>
    <row r="10" spans="1:10" x14ac:dyDescent="0.35">
      <c r="A10">
        <v>8</v>
      </c>
      <c r="B10" t="s">
        <v>31</v>
      </c>
      <c r="C10" s="2" t="s">
        <v>11</v>
      </c>
      <c r="D10" t="s">
        <v>39</v>
      </c>
      <c r="I10">
        <v>1</v>
      </c>
    </row>
    <row r="11" spans="1:10" x14ac:dyDescent="0.35">
      <c r="A11">
        <v>9</v>
      </c>
      <c r="B11" t="s">
        <v>31</v>
      </c>
      <c r="C11" s="2" t="s">
        <v>11</v>
      </c>
      <c r="D11" t="s">
        <v>40</v>
      </c>
      <c r="I11">
        <v>1</v>
      </c>
    </row>
    <row r="12" spans="1:10" x14ac:dyDescent="0.35">
      <c r="A12">
        <v>10</v>
      </c>
      <c r="B12" t="s">
        <v>31</v>
      </c>
      <c r="C12" s="2" t="s">
        <v>11</v>
      </c>
      <c r="D12" t="s">
        <v>41</v>
      </c>
      <c r="I12">
        <v>1</v>
      </c>
    </row>
    <row r="13" spans="1:10" x14ac:dyDescent="0.35">
      <c r="A13">
        <v>11</v>
      </c>
      <c r="B13" t="s">
        <v>31</v>
      </c>
      <c r="C13" s="2" t="s">
        <v>11</v>
      </c>
      <c r="D13" t="s">
        <v>42</v>
      </c>
      <c r="I13">
        <v>1</v>
      </c>
    </row>
    <row r="14" spans="1:10" x14ac:dyDescent="0.35">
      <c r="A14">
        <v>12</v>
      </c>
      <c r="B14" t="s">
        <v>31</v>
      </c>
      <c r="C14" s="2" t="s">
        <v>11</v>
      </c>
      <c r="D14" t="s">
        <v>43</v>
      </c>
      <c r="E14">
        <v>1</v>
      </c>
    </row>
    <row r="15" spans="1:10" x14ac:dyDescent="0.35">
      <c r="A15">
        <v>13</v>
      </c>
      <c r="B15" t="s">
        <v>31</v>
      </c>
      <c r="C15" s="2" t="s">
        <v>11</v>
      </c>
      <c r="D15" t="s">
        <v>44</v>
      </c>
      <c r="I15">
        <v>1</v>
      </c>
    </row>
    <row r="16" spans="1:10" x14ac:dyDescent="0.35">
      <c r="A16">
        <v>14</v>
      </c>
      <c r="B16" t="s">
        <v>31</v>
      </c>
      <c r="C16" s="2" t="s">
        <v>11</v>
      </c>
      <c r="D16" t="s">
        <v>45</v>
      </c>
      <c r="G16">
        <v>1</v>
      </c>
    </row>
    <row r="17" spans="1:9" x14ac:dyDescent="0.35">
      <c r="A17">
        <v>15</v>
      </c>
      <c r="B17" t="s">
        <v>31</v>
      </c>
      <c r="C17" s="2" t="s">
        <v>11</v>
      </c>
      <c r="D17" t="s">
        <v>46</v>
      </c>
      <c r="I17">
        <v>1</v>
      </c>
    </row>
    <row r="18" spans="1:9" x14ac:dyDescent="0.35">
      <c r="A18">
        <v>16</v>
      </c>
      <c r="B18" t="s">
        <v>31</v>
      </c>
      <c r="C18" s="2" t="s">
        <v>11</v>
      </c>
      <c r="D18" t="s">
        <v>47</v>
      </c>
      <c r="I18">
        <v>1</v>
      </c>
    </row>
    <row r="19" spans="1:9" x14ac:dyDescent="0.35">
      <c r="A19">
        <v>17</v>
      </c>
      <c r="B19" t="s">
        <v>31</v>
      </c>
      <c r="C19" s="2" t="s">
        <v>11</v>
      </c>
      <c r="D19" t="s">
        <v>48</v>
      </c>
      <c r="I19">
        <v>1</v>
      </c>
    </row>
    <row r="20" spans="1:9" x14ac:dyDescent="0.35">
      <c r="A20">
        <v>18</v>
      </c>
      <c r="B20" t="s">
        <v>31</v>
      </c>
      <c r="C20" s="2" t="s">
        <v>11</v>
      </c>
      <c r="D20" t="s">
        <v>49</v>
      </c>
      <c r="I20">
        <v>1</v>
      </c>
    </row>
    <row r="21" spans="1:9" x14ac:dyDescent="0.35">
      <c r="A21">
        <v>19</v>
      </c>
      <c r="B21" t="s">
        <v>31</v>
      </c>
      <c r="C21" s="2" t="s">
        <v>11</v>
      </c>
      <c r="D21" t="s">
        <v>50</v>
      </c>
      <c r="I21">
        <v>1</v>
      </c>
    </row>
    <row r="22" spans="1:9" x14ac:dyDescent="0.35">
      <c r="A22">
        <v>20</v>
      </c>
      <c r="B22" t="s">
        <v>31</v>
      </c>
      <c r="C22" s="2" t="s">
        <v>11</v>
      </c>
      <c r="D22" t="s">
        <v>51</v>
      </c>
      <c r="G22">
        <v>1</v>
      </c>
    </row>
    <row r="23" spans="1:9" x14ac:dyDescent="0.35">
      <c r="A23">
        <v>21</v>
      </c>
      <c r="B23" t="s">
        <v>31</v>
      </c>
      <c r="C23" s="2" t="s">
        <v>11</v>
      </c>
      <c r="D23" t="s">
        <v>52</v>
      </c>
      <c r="I23">
        <v>1</v>
      </c>
    </row>
    <row r="24" spans="1:9" x14ac:dyDescent="0.35">
      <c r="A24">
        <v>22</v>
      </c>
      <c r="B24" t="s">
        <v>31</v>
      </c>
      <c r="C24" s="2" t="s">
        <v>11</v>
      </c>
      <c r="D24" t="s">
        <v>53</v>
      </c>
      <c r="I24">
        <v>1</v>
      </c>
    </row>
    <row r="25" spans="1:9" x14ac:dyDescent="0.35">
      <c r="A25">
        <v>23</v>
      </c>
      <c r="B25" t="s">
        <v>31</v>
      </c>
      <c r="C25" s="2" t="s">
        <v>11</v>
      </c>
      <c r="D25" t="s">
        <v>54</v>
      </c>
      <c r="I25">
        <v>1</v>
      </c>
    </row>
    <row r="26" spans="1:9" x14ac:dyDescent="0.35">
      <c r="A26">
        <v>24</v>
      </c>
      <c r="B26" t="s">
        <v>31</v>
      </c>
      <c r="C26" s="2" t="s">
        <v>11</v>
      </c>
      <c r="D26" t="s">
        <v>55</v>
      </c>
      <c r="I26">
        <v>1</v>
      </c>
    </row>
    <row r="27" spans="1:9" x14ac:dyDescent="0.35">
      <c r="A27">
        <v>25</v>
      </c>
      <c r="B27" t="s">
        <v>31</v>
      </c>
      <c r="C27" s="2" t="s">
        <v>11</v>
      </c>
      <c r="D27" t="s">
        <v>56</v>
      </c>
      <c r="E27">
        <v>1</v>
      </c>
    </row>
    <row r="28" spans="1:9" x14ac:dyDescent="0.35">
      <c r="A28">
        <v>26</v>
      </c>
      <c r="B28" t="s">
        <v>31</v>
      </c>
      <c r="C28" s="2" t="s">
        <v>11</v>
      </c>
      <c r="D28" t="s">
        <v>57</v>
      </c>
      <c r="E28">
        <v>1</v>
      </c>
    </row>
    <row r="29" spans="1:9" x14ac:dyDescent="0.35">
      <c r="A29">
        <v>27</v>
      </c>
      <c r="B29" t="s">
        <v>31</v>
      </c>
      <c r="C29" s="2" t="s">
        <v>11</v>
      </c>
      <c r="D29" t="s">
        <v>58</v>
      </c>
      <c r="I29">
        <v>1</v>
      </c>
    </row>
    <row r="30" spans="1:9" x14ac:dyDescent="0.35">
      <c r="A30">
        <v>28</v>
      </c>
      <c r="B30" t="s">
        <v>31</v>
      </c>
      <c r="C30" s="2" t="s">
        <v>11</v>
      </c>
      <c r="D30" t="s">
        <v>59</v>
      </c>
      <c r="I30">
        <v>1</v>
      </c>
    </row>
    <row r="31" spans="1:9" x14ac:dyDescent="0.35">
      <c r="A31">
        <v>29</v>
      </c>
      <c r="B31" t="s">
        <v>31</v>
      </c>
      <c r="C31" s="2" t="s">
        <v>11</v>
      </c>
    </row>
    <row r="32" spans="1:9" x14ac:dyDescent="0.35">
      <c r="A32">
        <v>30</v>
      </c>
      <c r="B32" t="s">
        <v>31</v>
      </c>
      <c r="C32" s="2" t="s">
        <v>11</v>
      </c>
    </row>
    <row r="35" spans="1:10" x14ac:dyDescent="0.35">
      <c r="C35" s="5" t="s">
        <v>7</v>
      </c>
      <c r="D35" s="6">
        <f>COUNTIF(E3:E32,1)</f>
        <v>4</v>
      </c>
      <c r="E35" s="6">
        <f>COUNTIF(E2:E21,1)</f>
        <v>2</v>
      </c>
    </row>
    <row r="36" spans="1:10" x14ac:dyDescent="0.35">
      <c r="C36" s="5" t="s">
        <v>8</v>
      </c>
      <c r="D36" s="6">
        <f>COUNTIF(E3:E32,1) + COUNTIF(G3:G32,1)</f>
        <v>6</v>
      </c>
      <c r="E36" s="6">
        <f>COUNTIF(E2:E21,1) + COUNTIF(G2:G21,1)</f>
        <v>3</v>
      </c>
    </row>
    <row r="37" spans="1:10" x14ac:dyDescent="0.35">
      <c r="C37" s="5" t="s">
        <v>10</v>
      </c>
      <c r="D37" s="6">
        <f>COUNTIF(F3:F32,1) + COUNTIF(H3:H32,1) + COUNTIF(I3:I32,1) + COUNTIF(J3:J32,1)</f>
        <v>21</v>
      </c>
      <c r="E37" s="6">
        <f>COUNTIF(F2:F21,1) + COUNTIF(H2:H21,1) + COUNTIF(I2:I21,1) + COUNTIF(J2:J21,1)</f>
        <v>15</v>
      </c>
    </row>
    <row r="38" spans="1:10" x14ac:dyDescent="0.35">
      <c r="C38" s="5" t="s">
        <v>9</v>
      </c>
      <c r="D38" s="6">
        <f>COUNTIF(F3:F32,1) + COUNTIF(H3:H32,1)</f>
        <v>1</v>
      </c>
      <c r="E38" s="6">
        <f>COUNTIF(F2:F21,1) + COUNTIF(H2:H21,1)</f>
        <v>1</v>
      </c>
    </row>
    <row r="39" spans="1:10" x14ac:dyDescent="0.35">
      <c r="C39" s="5" t="s">
        <v>209</v>
      </c>
      <c r="D39" s="6">
        <f>COUNTIF(F3:F32,1) + COUNTIF(E3:E32,1) + COUNTIF(G3:G32,1) + COUNTIF(H3:H32,1) + COUNTIF(I3:I32,1) + COUNTIF(J3:J32,1)</f>
        <v>27</v>
      </c>
      <c r="E39" s="6">
        <f>COUNTIF(E2:E21,1) + COUNTIF(F2:F21,1) + COUNTIF(G2:G21,1) + COUNTIF(H2:H21,1) + COUNTIF(K2:K21,1) + COUNTIF(J2:J21,1) + COUNTIF(I2:I21,1)</f>
        <v>18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31</v>
      </c>
      <c r="C43" s="4" t="s">
        <v>28</v>
      </c>
      <c r="D43" t="s">
        <v>60</v>
      </c>
      <c r="I43">
        <v>1</v>
      </c>
    </row>
    <row r="44" spans="1:10" x14ac:dyDescent="0.35">
      <c r="A44">
        <v>2</v>
      </c>
      <c r="B44" t="s">
        <v>31</v>
      </c>
      <c r="C44" s="4" t="s">
        <v>28</v>
      </c>
      <c r="D44" t="s">
        <v>61</v>
      </c>
      <c r="I44">
        <v>1</v>
      </c>
    </row>
    <row r="45" spans="1:10" x14ac:dyDescent="0.35">
      <c r="A45">
        <v>3</v>
      </c>
      <c r="B45" t="s">
        <v>31</v>
      </c>
      <c r="C45" s="4" t="s">
        <v>28</v>
      </c>
      <c r="D45" s="3" t="s">
        <v>62</v>
      </c>
    </row>
    <row r="46" spans="1:10" x14ac:dyDescent="0.35">
      <c r="A46">
        <v>4</v>
      </c>
      <c r="B46" t="s">
        <v>31</v>
      </c>
      <c r="C46" s="4" t="s">
        <v>28</v>
      </c>
      <c r="D46" t="s">
        <v>63</v>
      </c>
      <c r="I46">
        <v>1</v>
      </c>
    </row>
    <row r="47" spans="1:10" x14ac:dyDescent="0.35">
      <c r="A47">
        <v>5</v>
      </c>
      <c r="B47" t="s">
        <v>31</v>
      </c>
      <c r="C47" s="4" t="s">
        <v>28</v>
      </c>
      <c r="D47" s="3" t="s">
        <v>64</v>
      </c>
    </row>
    <row r="48" spans="1:10" x14ac:dyDescent="0.35">
      <c r="A48">
        <v>6</v>
      </c>
      <c r="B48" t="s">
        <v>31</v>
      </c>
      <c r="C48" s="4" t="s">
        <v>28</v>
      </c>
      <c r="D48" t="s">
        <v>65</v>
      </c>
      <c r="I48">
        <v>1</v>
      </c>
    </row>
    <row r="49" spans="1:9" x14ac:dyDescent="0.35">
      <c r="A49">
        <v>7</v>
      </c>
      <c r="B49" t="s">
        <v>31</v>
      </c>
      <c r="C49" s="4" t="s">
        <v>28</v>
      </c>
      <c r="D49" t="s">
        <v>66</v>
      </c>
      <c r="I49">
        <v>1</v>
      </c>
    </row>
    <row r="50" spans="1:9" x14ac:dyDescent="0.35">
      <c r="A50">
        <v>8</v>
      </c>
      <c r="B50" t="s">
        <v>31</v>
      </c>
      <c r="C50" s="4" t="s">
        <v>28</v>
      </c>
    </row>
    <row r="51" spans="1:9" x14ac:dyDescent="0.35">
      <c r="A51">
        <v>9</v>
      </c>
      <c r="B51" t="s">
        <v>31</v>
      </c>
      <c r="C51" s="4" t="s">
        <v>28</v>
      </c>
    </row>
    <row r="52" spans="1:9" x14ac:dyDescent="0.35">
      <c r="A52">
        <v>10</v>
      </c>
      <c r="B52" t="s">
        <v>31</v>
      </c>
      <c r="C52" s="4" t="s">
        <v>28</v>
      </c>
    </row>
    <row r="53" spans="1:9" x14ac:dyDescent="0.35">
      <c r="A53">
        <v>11</v>
      </c>
      <c r="B53" t="s">
        <v>31</v>
      </c>
      <c r="C53" s="4" t="s">
        <v>28</v>
      </c>
    </row>
    <row r="54" spans="1:9" x14ac:dyDescent="0.35">
      <c r="A54">
        <v>12</v>
      </c>
      <c r="B54" t="s">
        <v>31</v>
      </c>
      <c r="C54" s="4" t="s">
        <v>28</v>
      </c>
    </row>
    <row r="55" spans="1:9" x14ac:dyDescent="0.35">
      <c r="A55">
        <v>13</v>
      </c>
      <c r="B55" t="s">
        <v>31</v>
      </c>
      <c r="C55" s="4" t="s">
        <v>28</v>
      </c>
    </row>
    <row r="56" spans="1:9" x14ac:dyDescent="0.35">
      <c r="A56">
        <v>14</v>
      </c>
      <c r="B56" t="s">
        <v>31</v>
      </c>
      <c r="C56" s="4" t="s">
        <v>28</v>
      </c>
    </row>
    <row r="57" spans="1:9" x14ac:dyDescent="0.35">
      <c r="A57">
        <v>15</v>
      </c>
      <c r="B57" t="s">
        <v>31</v>
      </c>
      <c r="C57" s="4" t="s">
        <v>28</v>
      </c>
    </row>
    <row r="58" spans="1:9" x14ac:dyDescent="0.35">
      <c r="A58">
        <v>16</v>
      </c>
      <c r="B58" t="s">
        <v>31</v>
      </c>
      <c r="C58" s="4" t="s">
        <v>28</v>
      </c>
    </row>
    <row r="59" spans="1:9" x14ac:dyDescent="0.35">
      <c r="A59">
        <v>17</v>
      </c>
      <c r="B59" t="s">
        <v>31</v>
      </c>
      <c r="C59" s="4" t="s">
        <v>28</v>
      </c>
    </row>
    <row r="60" spans="1:9" x14ac:dyDescent="0.35">
      <c r="A60">
        <v>18</v>
      </c>
      <c r="B60" t="s">
        <v>31</v>
      </c>
      <c r="C60" s="4" t="s">
        <v>28</v>
      </c>
    </row>
    <row r="61" spans="1:9" x14ac:dyDescent="0.35">
      <c r="A61">
        <v>19</v>
      </c>
      <c r="B61" t="s">
        <v>31</v>
      </c>
      <c r="C61" s="4" t="s">
        <v>28</v>
      </c>
    </row>
    <row r="62" spans="1:9" x14ac:dyDescent="0.35">
      <c r="A62">
        <v>20</v>
      </c>
      <c r="B62" t="s">
        <v>31</v>
      </c>
      <c r="C62" s="4" t="s">
        <v>28</v>
      </c>
    </row>
    <row r="63" spans="1:9" x14ac:dyDescent="0.35">
      <c r="A63">
        <v>21</v>
      </c>
      <c r="B63" t="s">
        <v>31</v>
      </c>
      <c r="C63" s="4" t="s">
        <v>28</v>
      </c>
    </row>
    <row r="64" spans="1:9" x14ac:dyDescent="0.35">
      <c r="A64">
        <v>22</v>
      </c>
      <c r="B64" t="s">
        <v>31</v>
      </c>
      <c r="C64" s="4" t="s">
        <v>28</v>
      </c>
    </row>
    <row r="65" spans="1:5" x14ac:dyDescent="0.35">
      <c r="A65">
        <v>23</v>
      </c>
      <c r="B65" t="s">
        <v>31</v>
      </c>
      <c r="C65" s="4" t="s">
        <v>28</v>
      </c>
    </row>
    <row r="66" spans="1:5" x14ac:dyDescent="0.35">
      <c r="A66">
        <v>24</v>
      </c>
      <c r="B66" t="s">
        <v>31</v>
      </c>
      <c r="C66" s="4" t="s">
        <v>28</v>
      </c>
    </row>
    <row r="67" spans="1:5" x14ac:dyDescent="0.35">
      <c r="A67">
        <v>25</v>
      </c>
      <c r="B67" t="s">
        <v>31</v>
      </c>
      <c r="C67" s="4" t="s">
        <v>28</v>
      </c>
    </row>
    <row r="68" spans="1:5" x14ac:dyDescent="0.35">
      <c r="A68">
        <v>26</v>
      </c>
      <c r="B68" t="s">
        <v>31</v>
      </c>
      <c r="C68" s="4" t="s">
        <v>28</v>
      </c>
    </row>
    <row r="69" spans="1:5" x14ac:dyDescent="0.35">
      <c r="A69">
        <v>27</v>
      </c>
      <c r="B69" t="s">
        <v>31</v>
      </c>
      <c r="C69" s="4" t="s">
        <v>28</v>
      </c>
    </row>
    <row r="70" spans="1:5" x14ac:dyDescent="0.35">
      <c r="A70">
        <v>28</v>
      </c>
      <c r="B70" t="s">
        <v>31</v>
      </c>
      <c r="C70" s="4" t="s">
        <v>28</v>
      </c>
    </row>
    <row r="71" spans="1:5" x14ac:dyDescent="0.35">
      <c r="A71">
        <v>29</v>
      </c>
      <c r="B71" t="s">
        <v>31</v>
      </c>
      <c r="C71" s="4" t="s">
        <v>28</v>
      </c>
    </row>
    <row r="72" spans="1:5" x14ac:dyDescent="0.35">
      <c r="A72">
        <v>30</v>
      </c>
      <c r="B72" t="s">
        <v>31</v>
      </c>
      <c r="C72" s="4" t="s">
        <v>28</v>
      </c>
    </row>
    <row r="75" spans="1:5" x14ac:dyDescent="0.35">
      <c r="C75" s="5" t="s">
        <v>7</v>
      </c>
      <c r="D75" s="6">
        <f>COUNTIF(E43:E72,1)</f>
        <v>0</v>
      </c>
      <c r="E75" s="6">
        <f>COUNTIF(E42:E61,1)</f>
        <v>0</v>
      </c>
    </row>
    <row r="76" spans="1:5" x14ac:dyDescent="0.35">
      <c r="C76" s="5" t="s">
        <v>8</v>
      </c>
      <c r="D76" s="6">
        <f>COUNTIF(E43:E72,1) + COUNTIF(G43:G72,1)</f>
        <v>0</v>
      </c>
      <c r="E76" s="6">
        <f>COUNTIF(E42:E61,1) + COUNTIF(G42:G61,1)</f>
        <v>0</v>
      </c>
    </row>
    <row r="77" spans="1:5" x14ac:dyDescent="0.35">
      <c r="C77" s="5" t="s">
        <v>10</v>
      </c>
      <c r="D77" s="6">
        <f>COUNTIF(F43:F72,1) + COUNTIF(H43:H72,1) + COUNTIF(I43:I72,1) + COUNTIF(J43:J72,1)</f>
        <v>5</v>
      </c>
      <c r="E77" s="6">
        <f>COUNTIF(F42:F61,1) + COUNTIF(H42:H61,1) + COUNTIF(I42:I61,1) + COUNTIF(J42:J61,1)</f>
        <v>5</v>
      </c>
    </row>
    <row r="78" spans="1:5" x14ac:dyDescent="0.35">
      <c r="C78" s="5" t="s">
        <v>9</v>
      </c>
      <c r="D78" s="6">
        <f>COUNTIF(F43:F72,1) + COUNTIF(H43:H72,1)</f>
        <v>0</v>
      </c>
      <c r="E78" s="6">
        <f>COUNTIF(F42:F61,1) + COUNTIF(H42:H61,1)</f>
        <v>0</v>
      </c>
    </row>
    <row r="79" spans="1:5" x14ac:dyDescent="0.35">
      <c r="C79" s="5" t="s">
        <v>209</v>
      </c>
      <c r="D79" s="6">
        <f>COUNTIF(F43:F72,1) + COUNTIF(E43:E72,1) + COUNTIF(G43:G72,1) + COUNTIF(H43:H72,1) + COUNTIF(I43:I72,1) + COUNTIF(J43:J72,1)</f>
        <v>5</v>
      </c>
      <c r="E79" s="6">
        <f>COUNTIF(E42:E61,1) + COUNTIF(F42:F61,1) + COUNTIF(G42:G61,1) + COUNTIF(H42:H61,1) + COUNTIF(K42:K61,1) + COUNTIF(J42:J61,1) + COUNTIF(I42:I61,1)</f>
        <v>5</v>
      </c>
    </row>
  </sheetData>
  <phoneticPr fontId="1" type="noConversion"/>
  <conditionalFormatting sqref="E3:E33">
    <cfRule type="cellIs" dxfId="128" priority="8" operator="between">
      <formula>1</formula>
      <formula>1</formula>
    </cfRule>
  </conditionalFormatting>
  <conditionalFormatting sqref="E43:E72">
    <cfRule type="cellIs" dxfId="127" priority="4" operator="between">
      <formula>1</formula>
      <formula>1</formula>
    </cfRule>
  </conditionalFormatting>
  <conditionalFormatting sqref="F3:F33">
    <cfRule type="cellIs" dxfId="126" priority="5" operator="between">
      <formula>1</formula>
      <formula>1</formula>
    </cfRule>
  </conditionalFormatting>
  <conditionalFormatting sqref="F43:F72">
    <cfRule type="cellIs" dxfId="125" priority="3" operator="between">
      <formula>1</formula>
      <formula>1</formula>
    </cfRule>
  </conditionalFormatting>
  <conditionalFormatting sqref="G3:G33">
    <cfRule type="cellIs" dxfId="124" priority="9" operator="between">
      <formula>1</formula>
      <formula>2</formula>
    </cfRule>
  </conditionalFormatting>
  <conditionalFormatting sqref="G43:G72">
    <cfRule type="cellIs" dxfId="123" priority="2" operator="between">
      <formula>1</formula>
      <formula>1</formula>
    </cfRule>
  </conditionalFormatting>
  <conditionalFormatting sqref="H3:J33">
    <cfRule type="cellIs" dxfId="122" priority="6" operator="between">
      <formula>1</formula>
      <formula>1</formula>
    </cfRule>
  </conditionalFormatting>
  <conditionalFormatting sqref="H43:J72">
    <cfRule type="cellIs" dxfId="121" priority="1" operator="between">
      <formula>1</formula>
      <formula>1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24F9-E8B7-4A98-8A34-4616D8A79408}">
  <dimension ref="A2:J80"/>
  <sheetViews>
    <sheetView topLeftCell="A73" zoomScale="90" zoomScaleNormal="90" workbookViewId="0">
      <selection activeCell="E76" sqref="E76"/>
    </sheetView>
  </sheetViews>
  <sheetFormatPr defaultRowHeight="14.5" x14ac:dyDescent="0.35"/>
  <cols>
    <col min="1" max="1" width="7.453125" bestFit="1" customWidth="1"/>
    <col min="2" max="2" width="6.54296875" bestFit="1" customWidth="1"/>
    <col min="3" max="3" width="15.7265625" bestFit="1" customWidth="1"/>
    <col min="4" max="4" width="48.90625" bestFit="1" customWidth="1"/>
    <col min="5" max="5" width="31" bestFit="1" customWidth="1"/>
    <col min="6" max="6" width="27.1796875" bestFit="1" customWidth="1"/>
    <col min="7" max="7" width="32.453125" bestFit="1" customWidth="1"/>
    <col min="8" max="8" width="28.54296875" bestFit="1" customWidth="1"/>
    <col min="9" max="9" width="6.453125" bestFit="1" customWidth="1"/>
    <col min="10" max="10" width="14.81640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141</v>
      </c>
      <c r="C3" s="2" t="s">
        <v>11</v>
      </c>
      <c r="D3" t="s">
        <v>513</v>
      </c>
      <c r="G3">
        <v>1</v>
      </c>
    </row>
    <row r="4" spans="1:10" x14ac:dyDescent="0.35">
      <c r="A4">
        <v>2</v>
      </c>
      <c r="B4" t="s">
        <v>141</v>
      </c>
      <c r="C4" s="2" t="s">
        <v>11</v>
      </c>
      <c r="D4" t="s">
        <v>514</v>
      </c>
      <c r="J4">
        <v>1</v>
      </c>
    </row>
    <row r="5" spans="1:10" x14ac:dyDescent="0.35">
      <c r="A5">
        <v>3</v>
      </c>
      <c r="B5" t="s">
        <v>141</v>
      </c>
      <c r="C5" s="2" t="s">
        <v>11</v>
      </c>
      <c r="D5" t="s">
        <v>515</v>
      </c>
      <c r="I5">
        <v>1</v>
      </c>
    </row>
    <row r="6" spans="1:10" x14ac:dyDescent="0.35">
      <c r="A6">
        <v>4</v>
      </c>
      <c r="B6" t="s">
        <v>141</v>
      </c>
      <c r="C6" s="2" t="s">
        <v>11</v>
      </c>
      <c r="D6" t="s">
        <v>516</v>
      </c>
      <c r="I6">
        <v>1</v>
      </c>
    </row>
    <row r="7" spans="1:10" x14ac:dyDescent="0.35">
      <c r="A7">
        <v>5</v>
      </c>
      <c r="B7" t="s">
        <v>141</v>
      </c>
      <c r="C7" s="2" t="s">
        <v>11</v>
      </c>
      <c r="D7" t="s">
        <v>517</v>
      </c>
      <c r="I7">
        <v>1</v>
      </c>
    </row>
    <row r="8" spans="1:10" x14ac:dyDescent="0.35">
      <c r="A8">
        <v>6</v>
      </c>
      <c r="B8" t="s">
        <v>141</v>
      </c>
      <c r="C8" s="2" t="s">
        <v>11</v>
      </c>
      <c r="D8" t="s">
        <v>518</v>
      </c>
      <c r="I8">
        <v>1</v>
      </c>
    </row>
    <row r="9" spans="1:10" x14ac:dyDescent="0.35">
      <c r="A9">
        <v>7</v>
      </c>
      <c r="B9" t="s">
        <v>141</v>
      </c>
      <c r="C9" s="2" t="s">
        <v>11</v>
      </c>
      <c r="D9" t="s">
        <v>519</v>
      </c>
      <c r="J9">
        <v>1</v>
      </c>
    </row>
    <row r="10" spans="1:10" x14ac:dyDescent="0.35">
      <c r="A10">
        <v>8</v>
      </c>
      <c r="B10" t="s">
        <v>141</v>
      </c>
      <c r="C10" s="2" t="s">
        <v>11</v>
      </c>
      <c r="D10" t="s">
        <v>520</v>
      </c>
      <c r="J10">
        <v>1</v>
      </c>
    </row>
    <row r="11" spans="1:10" x14ac:dyDescent="0.35">
      <c r="A11">
        <v>9</v>
      </c>
      <c r="B11" t="s">
        <v>141</v>
      </c>
      <c r="C11" s="2" t="s">
        <v>11</v>
      </c>
      <c r="D11" t="s">
        <v>521</v>
      </c>
      <c r="I11">
        <v>1</v>
      </c>
    </row>
    <row r="12" spans="1:10" x14ac:dyDescent="0.35">
      <c r="A12">
        <v>10</v>
      </c>
      <c r="B12" t="s">
        <v>141</v>
      </c>
      <c r="C12" s="2" t="s">
        <v>11</v>
      </c>
      <c r="D12" t="s">
        <v>522</v>
      </c>
      <c r="J12">
        <v>1</v>
      </c>
    </row>
    <row r="13" spans="1:10" x14ac:dyDescent="0.35">
      <c r="A13">
        <v>11</v>
      </c>
      <c r="B13" t="s">
        <v>141</v>
      </c>
      <c r="C13" s="2" t="s">
        <v>11</v>
      </c>
      <c r="D13" t="s">
        <v>523</v>
      </c>
      <c r="F13">
        <v>1</v>
      </c>
    </row>
    <row r="14" spans="1:10" x14ac:dyDescent="0.35">
      <c r="A14">
        <v>12</v>
      </c>
      <c r="B14" t="s">
        <v>141</v>
      </c>
      <c r="C14" s="2" t="s">
        <v>11</v>
      </c>
      <c r="D14" t="s">
        <v>524</v>
      </c>
      <c r="J14">
        <v>1</v>
      </c>
    </row>
    <row r="15" spans="1:10" x14ac:dyDescent="0.35">
      <c r="A15">
        <v>13</v>
      </c>
      <c r="B15" t="s">
        <v>141</v>
      </c>
      <c r="C15" s="2" t="s">
        <v>11</v>
      </c>
      <c r="D15" t="s">
        <v>525</v>
      </c>
      <c r="E15">
        <v>1</v>
      </c>
    </row>
    <row r="16" spans="1:10" x14ac:dyDescent="0.35">
      <c r="A16">
        <v>14</v>
      </c>
      <c r="B16" t="s">
        <v>141</v>
      </c>
      <c r="C16" s="2" t="s">
        <v>11</v>
      </c>
      <c r="D16" t="s">
        <v>526</v>
      </c>
      <c r="F16">
        <v>1</v>
      </c>
    </row>
    <row r="17" spans="1:10" x14ac:dyDescent="0.35">
      <c r="A17">
        <v>15</v>
      </c>
      <c r="B17" t="s">
        <v>141</v>
      </c>
      <c r="C17" s="2" t="s">
        <v>11</v>
      </c>
      <c r="D17" t="s">
        <v>527</v>
      </c>
      <c r="G17">
        <v>1</v>
      </c>
    </row>
    <row r="18" spans="1:10" x14ac:dyDescent="0.35">
      <c r="A18">
        <v>16</v>
      </c>
      <c r="B18" t="s">
        <v>141</v>
      </c>
      <c r="C18" s="2" t="s">
        <v>11</v>
      </c>
      <c r="D18" t="s">
        <v>528</v>
      </c>
      <c r="J18">
        <v>1</v>
      </c>
    </row>
    <row r="19" spans="1:10" x14ac:dyDescent="0.35">
      <c r="A19">
        <v>17</v>
      </c>
      <c r="B19" t="s">
        <v>141</v>
      </c>
      <c r="C19" s="2" t="s">
        <v>11</v>
      </c>
      <c r="D19" t="s">
        <v>529</v>
      </c>
      <c r="E19">
        <v>1</v>
      </c>
    </row>
    <row r="20" spans="1:10" x14ac:dyDescent="0.35">
      <c r="A20">
        <v>18</v>
      </c>
      <c r="B20" t="s">
        <v>141</v>
      </c>
      <c r="C20" s="2" t="s">
        <v>11</v>
      </c>
      <c r="D20" t="s">
        <v>530</v>
      </c>
      <c r="J20">
        <v>1</v>
      </c>
    </row>
    <row r="21" spans="1:10" x14ac:dyDescent="0.35">
      <c r="A21">
        <v>19</v>
      </c>
      <c r="B21" t="s">
        <v>141</v>
      </c>
      <c r="C21" s="2" t="s">
        <v>11</v>
      </c>
      <c r="D21" t="s">
        <v>531</v>
      </c>
      <c r="J21">
        <v>1</v>
      </c>
    </row>
    <row r="22" spans="1:10" x14ac:dyDescent="0.35">
      <c r="A22">
        <v>20</v>
      </c>
      <c r="B22" t="s">
        <v>141</v>
      </c>
      <c r="C22" s="2" t="s">
        <v>11</v>
      </c>
      <c r="D22" t="s">
        <v>532</v>
      </c>
      <c r="J22">
        <v>1</v>
      </c>
    </row>
    <row r="23" spans="1:10" x14ac:dyDescent="0.35">
      <c r="A23">
        <v>21</v>
      </c>
      <c r="B23" t="s">
        <v>141</v>
      </c>
      <c r="C23" s="2" t="s">
        <v>11</v>
      </c>
      <c r="D23" t="s">
        <v>533</v>
      </c>
      <c r="J23">
        <v>1</v>
      </c>
    </row>
    <row r="24" spans="1:10" x14ac:dyDescent="0.35">
      <c r="A24">
        <v>22</v>
      </c>
      <c r="B24" t="s">
        <v>141</v>
      </c>
      <c r="C24" s="2" t="s">
        <v>11</v>
      </c>
      <c r="D24" t="s">
        <v>534</v>
      </c>
      <c r="E24">
        <v>1</v>
      </c>
    </row>
    <row r="25" spans="1:10" x14ac:dyDescent="0.35">
      <c r="A25">
        <v>23</v>
      </c>
      <c r="B25" t="s">
        <v>141</v>
      </c>
      <c r="C25" s="2" t="s">
        <v>11</v>
      </c>
      <c r="D25" t="s">
        <v>535</v>
      </c>
      <c r="J25">
        <v>1</v>
      </c>
    </row>
    <row r="26" spans="1:10" x14ac:dyDescent="0.35">
      <c r="A26">
        <v>24</v>
      </c>
      <c r="B26" t="s">
        <v>141</v>
      </c>
      <c r="C26" s="2" t="s">
        <v>11</v>
      </c>
      <c r="D26" t="s">
        <v>536</v>
      </c>
      <c r="G26">
        <v>1</v>
      </c>
    </row>
    <row r="27" spans="1:10" x14ac:dyDescent="0.35">
      <c r="A27">
        <v>25</v>
      </c>
      <c r="B27" t="s">
        <v>141</v>
      </c>
      <c r="C27" s="2" t="s">
        <v>11</v>
      </c>
      <c r="D27" t="s">
        <v>537</v>
      </c>
      <c r="F27">
        <v>1</v>
      </c>
    </row>
    <row r="28" spans="1:10" x14ac:dyDescent="0.35">
      <c r="A28">
        <v>26</v>
      </c>
      <c r="B28" t="s">
        <v>141</v>
      </c>
      <c r="C28" s="2" t="s">
        <v>11</v>
      </c>
      <c r="D28" t="s">
        <v>538</v>
      </c>
      <c r="I28">
        <v>1</v>
      </c>
    </row>
    <row r="29" spans="1:10" x14ac:dyDescent="0.35">
      <c r="A29">
        <v>27</v>
      </c>
      <c r="B29" t="s">
        <v>141</v>
      </c>
      <c r="C29" s="2" t="s">
        <v>11</v>
      </c>
      <c r="D29" t="s">
        <v>539</v>
      </c>
      <c r="J29">
        <v>1</v>
      </c>
    </row>
    <row r="30" spans="1:10" x14ac:dyDescent="0.35">
      <c r="A30">
        <v>28</v>
      </c>
      <c r="B30" t="s">
        <v>141</v>
      </c>
      <c r="C30" s="2" t="s">
        <v>11</v>
      </c>
      <c r="D30" t="s">
        <v>540</v>
      </c>
      <c r="E30">
        <v>1</v>
      </c>
    </row>
    <row r="31" spans="1:10" x14ac:dyDescent="0.35">
      <c r="A31">
        <v>29</v>
      </c>
      <c r="B31" t="s">
        <v>141</v>
      </c>
      <c r="C31" s="2" t="s">
        <v>11</v>
      </c>
      <c r="D31" t="s">
        <v>541</v>
      </c>
      <c r="I31">
        <v>1</v>
      </c>
    </row>
    <row r="32" spans="1:10" x14ac:dyDescent="0.35">
      <c r="A32">
        <v>30</v>
      </c>
      <c r="B32" t="s">
        <v>141</v>
      </c>
      <c r="C32" s="2" t="s">
        <v>11</v>
      </c>
    </row>
    <row r="33" spans="1:10" x14ac:dyDescent="0.35">
      <c r="A33">
        <v>31</v>
      </c>
      <c r="B33" t="s">
        <v>141</v>
      </c>
      <c r="C33" s="2" t="s">
        <v>11</v>
      </c>
    </row>
    <row r="36" spans="1:10" x14ac:dyDescent="0.35">
      <c r="C36" s="5" t="s">
        <v>7</v>
      </c>
      <c r="D36" s="6">
        <f>COUNTIF(E3:E33,1)</f>
        <v>4</v>
      </c>
      <c r="E36" s="6">
        <f>COUNTIF(E3:E22,1)</f>
        <v>2</v>
      </c>
    </row>
    <row r="37" spans="1:10" x14ac:dyDescent="0.35">
      <c r="C37" s="5" t="s">
        <v>8</v>
      </c>
      <c r="D37" s="6">
        <f>COUNTIF(E3:E33,1) + COUNTIF(G3:G33,1)</f>
        <v>7</v>
      </c>
      <c r="E37" s="6">
        <f>COUNTIF(E3:E22,1) + COUNTIF(G3:G22,1)</f>
        <v>4</v>
      </c>
    </row>
    <row r="38" spans="1:10" x14ac:dyDescent="0.35">
      <c r="C38" s="5" t="s">
        <v>10</v>
      </c>
      <c r="D38" s="6">
        <f>COUNTIF(F3:F33,1) + COUNTIF(H3:H33,1) + COUNTIF(I3:I33,1) + COUNTIF(J3:J33,1)</f>
        <v>22</v>
      </c>
      <c r="E38" s="6">
        <f>COUNTIF(F3:F22,1) + COUNTIF(H3:H22,1) + COUNTIF(I3:I22,1) + COUNTIF(J3:J22,1)</f>
        <v>16</v>
      </c>
    </row>
    <row r="39" spans="1:10" x14ac:dyDescent="0.35">
      <c r="C39" s="5" t="s">
        <v>9</v>
      </c>
      <c r="D39" s="6">
        <f>COUNTIF(F3:F33,1) + COUNTIF(H3:H33,1)</f>
        <v>3</v>
      </c>
      <c r="E39" s="6">
        <f>COUNTIF(F3:F22,1) + COUNTIF(H3:H22,1)</f>
        <v>2</v>
      </c>
    </row>
    <row r="40" spans="1:10" x14ac:dyDescent="0.35">
      <c r="C40" s="5" t="s">
        <v>209</v>
      </c>
      <c r="D40" s="6">
        <f>COUNTIF(E3:E33,1) + COUNTIF(F3:F33,1) + COUNTIF(G3:G33,1) + COUNTIF(H3:H33,1) +COUNTIF(I3:I33,1) + COUNTIF(J3:J33,1)</f>
        <v>29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141</v>
      </c>
      <c r="C43" t="s">
        <v>28</v>
      </c>
      <c r="D43" t="s">
        <v>543</v>
      </c>
      <c r="I43">
        <v>1</v>
      </c>
    </row>
    <row r="44" spans="1:10" x14ac:dyDescent="0.35">
      <c r="A44">
        <v>2</v>
      </c>
      <c r="B44" t="s">
        <v>141</v>
      </c>
      <c r="C44" t="s">
        <v>28</v>
      </c>
      <c r="D44" t="s">
        <v>544</v>
      </c>
      <c r="I44">
        <v>1</v>
      </c>
    </row>
    <row r="45" spans="1:10" x14ac:dyDescent="0.35">
      <c r="A45">
        <v>3</v>
      </c>
      <c r="B45" t="s">
        <v>141</v>
      </c>
      <c r="C45" t="s">
        <v>28</v>
      </c>
      <c r="D45" t="s">
        <v>545</v>
      </c>
      <c r="I45">
        <v>1</v>
      </c>
    </row>
    <row r="46" spans="1:10" x14ac:dyDescent="0.35">
      <c r="A46">
        <v>4</v>
      </c>
      <c r="B46" t="s">
        <v>141</v>
      </c>
      <c r="C46" t="s">
        <v>28</v>
      </c>
      <c r="D46" t="s">
        <v>546</v>
      </c>
      <c r="H46">
        <v>1</v>
      </c>
    </row>
    <row r="47" spans="1:10" x14ac:dyDescent="0.35">
      <c r="A47">
        <v>5</v>
      </c>
      <c r="B47" t="s">
        <v>141</v>
      </c>
      <c r="C47" t="s">
        <v>28</v>
      </c>
      <c r="D47" t="s">
        <v>547</v>
      </c>
      <c r="I47">
        <v>1</v>
      </c>
    </row>
    <row r="48" spans="1:10" x14ac:dyDescent="0.35">
      <c r="A48">
        <v>6</v>
      </c>
      <c r="B48" t="s">
        <v>141</v>
      </c>
      <c r="C48" t="s">
        <v>28</v>
      </c>
      <c r="D48" t="s">
        <v>548</v>
      </c>
      <c r="I48">
        <v>1</v>
      </c>
    </row>
    <row r="49" spans="1:9" x14ac:dyDescent="0.35">
      <c r="A49">
        <v>7</v>
      </c>
      <c r="B49" t="s">
        <v>141</v>
      </c>
      <c r="C49" t="s">
        <v>28</v>
      </c>
      <c r="D49" t="s">
        <v>549</v>
      </c>
      <c r="I49">
        <v>1</v>
      </c>
    </row>
    <row r="50" spans="1:9" x14ac:dyDescent="0.35">
      <c r="A50">
        <v>8</v>
      </c>
      <c r="B50" t="s">
        <v>141</v>
      </c>
      <c r="C50" t="s">
        <v>28</v>
      </c>
      <c r="D50" t="s">
        <v>550</v>
      </c>
      <c r="I50">
        <v>1</v>
      </c>
    </row>
    <row r="51" spans="1:9" x14ac:dyDescent="0.35">
      <c r="A51">
        <v>9</v>
      </c>
      <c r="B51" t="s">
        <v>141</v>
      </c>
      <c r="C51" t="s">
        <v>28</v>
      </c>
      <c r="D51" t="s">
        <v>551</v>
      </c>
      <c r="I51">
        <v>1</v>
      </c>
    </row>
    <row r="52" spans="1:9" x14ac:dyDescent="0.35">
      <c r="A52">
        <v>10</v>
      </c>
      <c r="B52" t="s">
        <v>141</v>
      </c>
      <c r="C52" t="s">
        <v>28</v>
      </c>
      <c r="D52" t="s">
        <v>552</v>
      </c>
      <c r="I52">
        <v>1</v>
      </c>
    </row>
    <row r="53" spans="1:9" x14ac:dyDescent="0.35">
      <c r="A53">
        <v>11</v>
      </c>
      <c r="B53" t="s">
        <v>141</v>
      </c>
      <c r="C53" t="s">
        <v>28</v>
      </c>
      <c r="D53" t="s">
        <v>553</v>
      </c>
      <c r="I53">
        <v>1</v>
      </c>
    </row>
    <row r="54" spans="1:9" x14ac:dyDescent="0.35">
      <c r="A54">
        <v>12</v>
      </c>
      <c r="B54" t="s">
        <v>141</v>
      </c>
      <c r="C54" t="s">
        <v>28</v>
      </c>
      <c r="D54" t="s">
        <v>554</v>
      </c>
      <c r="I54">
        <v>1</v>
      </c>
    </row>
    <row r="55" spans="1:9" x14ac:dyDescent="0.35">
      <c r="A55">
        <v>13</v>
      </c>
      <c r="B55" t="s">
        <v>141</v>
      </c>
      <c r="C55" t="s">
        <v>28</v>
      </c>
      <c r="D55" t="s">
        <v>555</v>
      </c>
      <c r="I55">
        <v>1</v>
      </c>
    </row>
    <row r="56" spans="1:9" x14ac:dyDescent="0.35">
      <c r="A56">
        <v>14</v>
      </c>
      <c r="B56" t="s">
        <v>141</v>
      </c>
      <c r="C56" t="s">
        <v>28</v>
      </c>
      <c r="D56" t="s">
        <v>556</v>
      </c>
      <c r="I56">
        <v>1</v>
      </c>
    </row>
    <row r="57" spans="1:9" x14ac:dyDescent="0.35">
      <c r="A57">
        <v>15</v>
      </c>
      <c r="B57" t="s">
        <v>141</v>
      </c>
      <c r="C57" t="s">
        <v>28</v>
      </c>
      <c r="D57" t="s">
        <v>557</v>
      </c>
      <c r="E57">
        <v>1</v>
      </c>
    </row>
    <row r="58" spans="1:9" x14ac:dyDescent="0.35">
      <c r="A58">
        <v>16</v>
      </c>
      <c r="B58" t="s">
        <v>141</v>
      </c>
      <c r="C58" t="s">
        <v>28</v>
      </c>
      <c r="D58" t="s">
        <v>558</v>
      </c>
      <c r="I58">
        <v>1</v>
      </c>
    </row>
    <row r="59" spans="1:9" x14ac:dyDescent="0.35">
      <c r="A59">
        <v>17</v>
      </c>
      <c r="B59" t="s">
        <v>141</v>
      </c>
      <c r="C59" t="s">
        <v>28</v>
      </c>
      <c r="D59" t="s">
        <v>559</v>
      </c>
      <c r="I59">
        <v>1</v>
      </c>
    </row>
    <row r="60" spans="1:9" x14ac:dyDescent="0.35">
      <c r="A60">
        <v>18</v>
      </c>
      <c r="B60" t="s">
        <v>141</v>
      </c>
      <c r="C60" t="s">
        <v>28</v>
      </c>
      <c r="D60" t="s">
        <v>560</v>
      </c>
      <c r="I60">
        <v>1</v>
      </c>
    </row>
    <row r="61" spans="1:9" x14ac:dyDescent="0.35">
      <c r="A61">
        <v>19</v>
      </c>
      <c r="B61" t="s">
        <v>141</v>
      </c>
      <c r="C61" t="s">
        <v>28</v>
      </c>
      <c r="D61" t="s">
        <v>561</v>
      </c>
      <c r="G61">
        <v>1</v>
      </c>
    </row>
    <row r="62" spans="1:9" x14ac:dyDescent="0.35">
      <c r="A62">
        <v>20</v>
      </c>
      <c r="B62" t="s">
        <v>141</v>
      </c>
      <c r="C62" t="s">
        <v>28</v>
      </c>
      <c r="D62" t="s">
        <v>562</v>
      </c>
      <c r="E62">
        <v>1</v>
      </c>
    </row>
    <row r="63" spans="1:9" x14ac:dyDescent="0.35">
      <c r="A63">
        <v>21</v>
      </c>
      <c r="B63" t="s">
        <v>141</v>
      </c>
      <c r="C63" t="s">
        <v>28</v>
      </c>
      <c r="D63" t="s">
        <v>563</v>
      </c>
      <c r="G63">
        <v>1</v>
      </c>
    </row>
    <row r="64" spans="1:9" x14ac:dyDescent="0.35">
      <c r="A64">
        <v>22</v>
      </c>
      <c r="B64" t="s">
        <v>141</v>
      </c>
      <c r="C64" t="s">
        <v>28</v>
      </c>
      <c r="D64" t="s">
        <v>564</v>
      </c>
      <c r="H64">
        <v>1</v>
      </c>
    </row>
    <row r="65" spans="1:9" x14ac:dyDescent="0.35">
      <c r="A65">
        <v>23</v>
      </c>
      <c r="B65" t="s">
        <v>141</v>
      </c>
      <c r="C65" t="s">
        <v>28</v>
      </c>
      <c r="D65" t="s">
        <v>565</v>
      </c>
      <c r="I65">
        <v>1</v>
      </c>
    </row>
    <row r="66" spans="1:9" x14ac:dyDescent="0.35">
      <c r="A66">
        <v>24</v>
      </c>
      <c r="B66" t="s">
        <v>141</v>
      </c>
      <c r="C66" t="s">
        <v>28</v>
      </c>
      <c r="D66" t="s">
        <v>566</v>
      </c>
      <c r="I66">
        <v>1</v>
      </c>
    </row>
    <row r="67" spans="1:9" x14ac:dyDescent="0.35">
      <c r="A67">
        <v>25</v>
      </c>
      <c r="B67" t="s">
        <v>141</v>
      </c>
      <c r="C67" t="s">
        <v>28</v>
      </c>
      <c r="D67" t="s">
        <v>567</v>
      </c>
      <c r="E67">
        <v>1</v>
      </c>
    </row>
    <row r="68" spans="1:9" x14ac:dyDescent="0.35">
      <c r="A68">
        <v>26</v>
      </c>
      <c r="B68" t="s">
        <v>141</v>
      </c>
      <c r="C68" t="s">
        <v>28</v>
      </c>
      <c r="D68" t="s">
        <v>568</v>
      </c>
      <c r="I68">
        <v>1</v>
      </c>
    </row>
    <row r="69" spans="1:9" x14ac:dyDescent="0.35">
      <c r="A69">
        <v>27</v>
      </c>
      <c r="B69" t="s">
        <v>141</v>
      </c>
      <c r="C69" t="s">
        <v>28</v>
      </c>
      <c r="D69" t="s">
        <v>569</v>
      </c>
      <c r="E69">
        <v>1</v>
      </c>
    </row>
    <row r="70" spans="1:9" x14ac:dyDescent="0.35">
      <c r="A70">
        <v>28</v>
      </c>
      <c r="B70" t="s">
        <v>141</v>
      </c>
      <c r="C70" t="s">
        <v>28</v>
      </c>
      <c r="D70" t="s">
        <v>570</v>
      </c>
      <c r="I70">
        <v>1</v>
      </c>
    </row>
    <row r="71" spans="1:9" x14ac:dyDescent="0.35">
      <c r="A71">
        <v>29</v>
      </c>
      <c r="B71" t="s">
        <v>141</v>
      </c>
      <c r="C71" t="s">
        <v>28</v>
      </c>
      <c r="D71" t="s">
        <v>571</v>
      </c>
      <c r="I71">
        <v>1</v>
      </c>
    </row>
    <row r="72" spans="1:9" x14ac:dyDescent="0.35">
      <c r="A72">
        <v>30</v>
      </c>
      <c r="B72" t="s">
        <v>141</v>
      </c>
      <c r="C72" t="s">
        <v>28</v>
      </c>
      <c r="D72" t="s">
        <v>572</v>
      </c>
      <c r="I72">
        <v>1</v>
      </c>
    </row>
    <row r="76" spans="1:9" x14ac:dyDescent="0.35">
      <c r="C76" s="5" t="s">
        <v>7</v>
      </c>
      <c r="D76" s="6">
        <f>COUNTIF(E43:E72,1)</f>
        <v>4</v>
      </c>
      <c r="E76" s="6">
        <f>COUNTIF(E43:E62,1)</f>
        <v>2</v>
      </c>
    </row>
    <row r="77" spans="1:9" x14ac:dyDescent="0.35">
      <c r="C77" s="5" t="s">
        <v>8</v>
      </c>
      <c r="D77" s="6">
        <f>COUNTIF(E43:E72,1) + COUNTIF(G43:G72,1)</f>
        <v>6</v>
      </c>
      <c r="E77" s="6">
        <f>COUNTIF(E43:E62,1) + COUNTIF(G43:G62,1)</f>
        <v>3</v>
      </c>
    </row>
    <row r="78" spans="1:9" x14ac:dyDescent="0.35">
      <c r="C78" s="5" t="s">
        <v>10</v>
      </c>
      <c r="D78" s="6">
        <f>COUNTIF(F43:F72,1) + COUNTIF(H43:H72,1) + COUNTIF(I43:I72,1) + COUNTIF(J43:J72,1)</f>
        <v>24</v>
      </c>
      <c r="E78" s="6">
        <f>COUNTIF(F43:F62,1) + COUNTIF(H43:H62,1) + COUNTIF(I43:I62,1) + COUNTIF(J43:J62,1)</f>
        <v>17</v>
      </c>
    </row>
    <row r="79" spans="1:9" x14ac:dyDescent="0.35">
      <c r="C79" s="5" t="s">
        <v>9</v>
      </c>
      <c r="D79" s="6">
        <f>COUNTIF(F43:F72,1) + COUNTIF(H43:H72,1)</f>
        <v>2</v>
      </c>
      <c r="E79" s="6">
        <f>COUNTIF(F43:F62,1) + COUNTIF(H43:H62,1)</f>
        <v>1</v>
      </c>
    </row>
    <row r="80" spans="1:9" x14ac:dyDescent="0.35">
      <c r="C80" s="5" t="s">
        <v>209</v>
      </c>
      <c r="D80" s="6">
        <f>COUNTIF(E42:E72,1) + COUNTIF(F42:F72,1) + COUNTIF(G42:G72,1) + COUNTIF(H42:H72,1) +COUNTIF(I42:I72,1) + COUNTIF(J42:J72,1)</f>
        <v>30</v>
      </c>
      <c r="E80" s="6">
        <f>COUNTIF(E43:E62,1) + COUNTIF(F43:F62,1) + COUNTIF(G43:G62,1) + COUNTIF(H43:H62,1) + COUNTIF(K43:K62,1) + COUNTIF(J43:J62,1) + COUNTIF(I43:I62,1)</f>
        <v>20</v>
      </c>
    </row>
  </sheetData>
  <phoneticPr fontId="1" type="noConversion"/>
  <conditionalFormatting sqref="E3:E33">
    <cfRule type="cellIs" dxfId="120" priority="7" operator="between">
      <formula>1</formula>
      <formula>1</formula>
    </cfRule>
  </conditionalFormatting>
  <conditionalFormatting sqref="E43:E73">
    <cfRule type="cellIs" dxfId="119" priority="4" operator="between">
      <formula>1</formula>
      <formula>1</formula>
    </cfRule>
  </conditionalFormatting>
  <conditionalFormatting sqref="F3:F33">
    <cfRule type="cellIs" dxfId="118" priority="5" operator="between">
      <formula>1</formula>
      <formula>1</formula>
    </cfRule>
  </conditionalFormatting>
  <conditionalFormatting sqref="F43:F73">
    <cfRule type="cellIs" dxfId="117" priority="3" operator="between">
      <formula>1</formula>
      <formula>1</formula>
    </cfRule>
  </conditionalFormatting>
  <conditionalFormatting sqref="G3:G33">
    <cfRule type="cellIs" dxfId="116" priority="8" operator="between">
      <formula>1</formula>
      <formula>2</formula>
    </cfRule>
  </conditionalFormatting>
  <conditionalFormatting sqref="G43:G73">
    <cfRule type="cellIs" dxfId="115" priority="2" operator="between">
      <formula>1</formula>
      <formula>1</formula>
    </cfRule>
  </conditionalFormatting>
  <conditionalFormatting sqref="H3:J33">
    <cfRule type="cellIs" dxfId="114" priority="6" operator="between">
      <formula>1</formula>
      <formula>1</formula>
    </cfRule>
  </conditionalFormatting>
  <conditionalFormatting sqref="H43:J73">
    <cfRule type="cellIs" dxfId="113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6103-E66B-4FBF-BDA7-30F094AF1430}">
  <dimension ref="A2:J80"/>
  <sheetViews>
    <sheetView topLeftCell="A28" zoomScale="90" zoomScaleNormal="90" workbookViewId="0">
      <selection activeCell="E36" sqref="E36"/>
    </sheetView>
  </sheetViews>
  <sheetFormatPr defaultRowHeight="14.5" x14ac:dyDescent="0.35"/>
  <cols>
    <col min="1" max="1" width="7.26953125" bestFit="1" customWidth="1"/>
    <col min="2" max="2" width="6.453125" bestFit="1" customWidth="1"/>
    <col min="3" max="3" width="15.453125" bestFit="1" customWidth="1"/>
    <col min="4" max="4" width="51.453125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142</v>
      </c>
      <c r="C3" s="2" t="s">
        <v>11</v>
      </c>
      <c r="D3" t="s">
        <v>67</v>
      </c>
      <c r="I3">
        <v>1</v>
      </c>
    </row>
    <row r="4" spans="1:10" x14ac:dyDescent="0.35">
      <c r="A4">
        <v>2</v>
      </c>
      <c r="B4" t="s">
        <v>142</v>
      </c>
      <c r="C4" s="2" t="s">
        <v>11</v>
      </c>
      <c r="D4" t="s">
        <v>68</v>
      </c>
      <c r="E4">
        <v>1</v>
      </c>
    </row>
    <row r="5" spans="1:10" x14ac:dyDescent="0.35">
      <c r="A5">
        <v>3</v>
      </c>
      <c r="B5" t="s">
        <v>142</v>
      </c>
      <c r="C5" s="2" t="s">
        <v>11</v>
      </c>
      <c r="D5" t="s">
        <v>69</v>
      </c>
      <c r="I5">
        <v>1</v>
      </c>
    </row>
    <row r="6" spans="1:10" x14ac:dyDescent="0.35">
      <c r="A6">
        <v>4</v>
      </c>
      <c r="B6" t="s">
        <v>142</v>
      </c>
      <c r="C6" s="2" t="s">
        <v>11</v>
      </c>
      <c r="D6" t="s">
        <v>70</v>
      </c>
      <c r="I6">
        <v>1</v>
      </c>
    </row>
    <row r="7" spans="1:10" x14ac:dyDescent="0.35">
      <c r="A7">
        <v>5</v>
      </c>
      <c r="B7" t="s">
        <v>142</v>
      </c>
      <c r="C7" s="2" t="s">
        <v>11</v>
      </c>
      <c r="D7" t="s">
        <v>71</v>
      </c>
      <c r="I7">
        <v>1</v>
      </c>
    </row>
    <row r="8" spans="1:10" x14ac:dyDescent="0.35">
      <c r="A8">
        <v>6</v>
      </c>
      <c r="B8" t="s">
        <v>142</v>
      </c>
      <c r="C8" s="2" t="s">
        <v>11</v>
      </c>
      <c r="D8" t="s">
        <v>72</v>
      </c>
      <c r="I8">
        <v>1</v>
      </c>
    </row>
    <row r="9" spans="1:10" x14ac:dyDescent="0.35">
      <c r="A9">
        <v>7</v>
      </c>
      <c r="B9" t="s">
        <v>142</v>
      </c>
      <c r="C9" s="2" t="s">
        <v>11</v>
      </c>
      <c r="D9" t="s">
        <v>73</v>
      </c>
      <c r="I9">
        <v>1</v>
      </c>
    </row>
    <row r="10" spans="1:10" x14ac:dyDescent="0.35">
      <c r="A10">
        <v>8</v>
      </c>
      <c r="B10" t="s">
        <v>142</v>
      </c>
      <c r="C10" s="2" t="s">
        <v>11</v>
      </c>
      <c r="D10" t="s">
        <v>74</v>
      </c>
      <c r="I10">
        <v>1</v>
      </c>
    </row>
    <row r="11" spans="1:10" x14ac:dyDescent="0.35">
      <c r="A11">
        <v>9</v>
      </c>
      <c r="B11" t="s">
        <v>142</v>
      </c>
      <c r="C11" s="2" t="s">
        <v>11</v>
      </c>
      <c r="D11" t="s">
        <v>75</v>
      </c>
      <c r="I11">
        <v>1</v>
      </c>
    </row>
    <row r="12" spans="1:10" x14ac:dyDescent="0.35">
      <c r="A12">
        <v>10</v>
      </c>
      <c r="B12" t="s">
        <v>142</v>
      </c>
      <c r="C12" s="2" t="s">
        <v>11</v>
      </c>
      <c r="D12" t="s">
        <v>76</v>
      </c>
      <c r="I12">
        <v>1</v>
      </c>
    </row>
    <row r="13" spans="1:10" x14ac:dyDescent="0.35">
      <c r="A13">
        <v>11</v>
      </c>
      <c r="B13" t="s">
        <v>142</v>
      </c>
      <c r="C13" s="2" t="s">
        <v>11</v>
      </c>
      <c r="D13" t="s">
        <v>77</v>
      </c>
      <c r="I13">
        <v>1</v>
      </c>
    </row>
    <row r="14" spans="1:10" x14ac:dyDescent="0.35">
      <c r="A14">
        <v>12</v>
      </c>
      <c r="B14" t="s">
        <v>142</v>
      </c>
      <c r="C14" s="2" t="s">
        <v>11</v>
      </c>
      <c r="D14" t="s">
        <v>78</v>
      </c>
      <c r="I14">
        <v>1</v>
      </c>
    </row>
    <row r="15" spans="1:10" x14ac:dyDescent="0.35">
      <c r="A15">
        <v>13</v>
      </c>
      <c r="B15" t="s">
        <v>142</v>
      </c>
      <c r="C15" s="2" t="s">
        <v>11</v>
      </c>
      <c r="D15" t="s">
        <v>79</v>
      </c>
      <c r="I15">
        <v>1</v>
      </c>
    </row>
    <row r="16" spans="1:10" x14ac:dyDescent="0.35">
      <c r="A16">
        <v>14</v>
      </c>
      <c r="B16" t="s">
        <v>142</v>
      </c>
      <c r="C16" s="2" t="s">
        <v>11</v>
      </c>
      <c r="D16" t="s">
        <v>80</v>
      </c>
      <c r="I16">
        <v>1</v>
      </c>
    </row>
    <row r="17" spans="1:9" x14ac:dyDescent="0.35">
      <c r="A17">
        <v>15</v>
      </c>
      <c r="B17" t="s">
        <v>142</v>
      </c>
      <c r="C17" s="2" t="s">
        <v>11</v>
      </c>
      <c r="D17" t="s">
        <v>81</v>
      </c>
      <c r="I17">
        <v>1</v>
      </c>
    </row>
    <row r="18" spans="1:9" x14ac:dyDescent="0.35">
      <c r="A18">
        <v>16</v>
      </c>
      <c r="B18" t="s">
        <v>142</v>
      </c>
      <c r="C18" s="2" t="s">
        <v>11</v>
      </c>
      <c r="D18" t="s">
        <v>82</v>
      </c>
      <c r="E18">
        <v>1</v>
      </c>
    </row>
    <row r="19" spans="1:9" x14ac:dyDescent="0.35">
      <c r="A19">
        <v>17</v>
      </c>
      <c r="B19" t="s">
        <v>142</v>
      </c>
      <c r="C19" s="2" t="s">
        <v>11</v>
      </c>
      <c r="D19" t="s">
        <v>83</v>
      </c>
      <c r="I19">
        <v>1</v>
      </c>
    </row>
    <row r="20" spans="1:9" x14ac:dyDescent="0.35">
      <c r="A20">
        <v>18</v>
      </c>
      <c r="B20" t="s">
        <v>142</v>
      </c>
      <c r="C20" s="2" t="s">
        <v>11</v>
      </c>
      <c r="D20" t="s">
        <v>84</v>
      </c>
      <c r="I20">
        <v>1</v>
      </c>
    </row>
    <row r="21" spans="1:9" x14ac:dyDescent="0.35">
      <c r="A21">
        <v>19</v>
      </c>
      <c r="B21" t="s">
        <v>142</v>
      </c>
      <c r="C21" s="2" t="s">
        <v>11</v>
      </c>
      <c r="D21" t="s">
        <v>85</v>
      </c>
      <c r="I21">
        <v>1</v>
      </c>
    </row>
    <row r="22" spans="1:9" x14ac:dyDescent="0.35">
      <c r="A22">
        <v>20</v>
      </c>
      <c r="B22" t="s">
        <v>142</v>
      </c>
      <c r="C22" s="2" t="s">
        <v>11</v>
      </c>
      <c r="D22" t="s">
        <v>86</v>
      </c>
      <c r="I22">
        <v>1</v>
      </c>
    </row>
    <row r="23" spans="1:9" x14ac:dyDescent="0.35">
      <c r="A23">
        <v>21</v>
      </c>
      <c r="B23" t="s">
        <v>142</v>
      </c>
      <c r="C23" s="2" t="s">
        <v>11</v>
      </c>
      <c r="D23" t="s">
        <v>87</v>
      </c>
      <c r="G23">
        <v>1</v>
      </c>
    </row>
    <row r="24" spans="1:9" x14ac:dyDescent="0.35">
      <c r="A24">
        <v>22</v>
      </c>
      <c r="B24" t="s">
        <v>142</v>
      </c>
      <c r="C24" s="2" t="s">
        <v>11</v>
      </c>
      <c r="D24" t="s">
        <v>88</v>
      </c>
      <c r="G24">
        <v>1</v>
      </c>
    </row>
    <row r="25" spans="1:9" x14ac:dyDescent="0.35">
      <c r="A25">
        <v>23</v>
      </c>
      <c r="B25" t="s">
        <v>142</v>
      </c>
      <c r="C25" s="2" t="s">
        <v>11</v>
      </c>
      <c r="D25" t="s">
        <v>89</v>
      </c>
      <c r="I25">
        <v>1</v>
      </c>
    </row>
    <row r="26" spans="1:9" x14ac:dyDescent="0.35">
      <c r="A26">
        <v>24</v>
      </c>
      <c r="B26" t="s">
        <v>142</v>
      </c>
      <c r="C26" s="2" t="s">
        <v>11</v>
      </c>
      <c r="D26" t="s">
        <v>90</v>
      </c>
      <c r="E26">
        <v>1</v>
      </c>
    </row>
    <row r="27" spans="1:9" x14ac:dyDescent="0.35">
      <c r="A27">
        <v>25</v>
      </c>
      <c r="B27" t="s">
        <v>142</v>
      </c>
      <c r="C27" s="2" t="s">
        <v>11</v>
      </c>
      <c r="D27" t="s">
        <v>91</v>
      </c>
      <c r="E27">
        <v>1</v>
      </c>
    </row>
    <row r="28" spans="1:9" x14ac:dyDescent="0.35">
      <c r="A28">
        <v>26</v>
      </c>
      <c r="B28" t="s">
        <v>142</v>
      </c>
      <c r="C28" s="2" t="s">
        <v>11</v>
      </c>
      <c r="D28" t="s">
        <v>92</v>
      </c>
      <c r="I28">
        <v>1</v>
      </c>
    </row>
    <row r="29" spans="1:9" x14ac:dyDescent="0.35">
      <c r="A29">
        <v>27</v>
      </c>
      <c r="B29" t="s">
        <v>142</v>
      </c>
      <c r="C29" s="2" t="s">
        <v>11</v>
      </c>
      <c r="D29" t="s">
        <v>93</v>
      </c>
      <c r="I29">
        <v>1</v>
      </c>
    </row>
    <row r="30" spans="1:9" x14ac:dyDescent="0.35">
      <c r="A30">
        <v>28</v>
      </c>
      <c r="B30" t="s">
        <v>142</v>
      </c>
      <c r="C30" s="2" t="s">
        <v>11</v>
      </c>
      <c r="D30" t="s">
        <v>94</v>
      </c>
      <c r="I30">
        <v>1</v>
      </c>
    </row>
    <row r="31" spans="1:9" x14ac:dyDescent="0.35">
      <c r="A31">
        <v>29</v>
      </c>
      <c r="B31" t="s">
        <v>142</v>
      </c>
      <c r="C31" s="2" t="s">
        <v>11</v>
      </c>
      <c r="D31" t="s">
        <v>95</v>
      </c>
      <c r="I31">
        <v>1</v>
      </c>
    </row>
    <row r="32" spans="1:9" x14ac:dyDescent="0.35">
      <c r="A32">
        <v>30</v>
      </c>
      <c r="B32" t="s">
        <v>142</v>
      </c>
      <c r="C32" s="2" t="s">
        <v>11</v>
      </c>
      <c r="D32" t="s">
        <v>96</v>
      </c>
      <c r="I32">
        <v>1</v>
      </c>
    </row>
    <row r="33" spans="1:10" x14ac:dyDescent="0.35">
      <c r="A33">
        <v>31</v>
      </c>
      <c r="B33" t="s">
        <v>142</v>
      </c>
      <c r="C33" s="2" t="s">
        <v>11</v>
      </c>
      <c r="D33" t="s">
        <v>97</v>
      </c>
      <c r="I33">
        <v>1</v>
      </c>
    </row>
    <row r="36" spans="1:10" x14ac:dyDescent="0.35">
      <c r="C36" s="5" t="s">
        <v>7</v>
      </c>
      <c r="D36" s="6">
        <f>COUNTIF(E3:E33,1)</f>
        <v>4</v>
      </c>
      <c r="E36" s="6">
        <f>COUNTIF(E3:E22,1)</f>
        <v>2</v>
      </c>
    </row>
    <row r="37" spans="1:10" x14ac:dyDescent="0.35">
      <c r="C37" s="5" t="s">
        <v>8</v>
      </c>
      <c r="D37" s="6">
        <f>COUNTIF(E3:E33,1) + COUNTIF(G3:G33,1)</f>
        <v>6</v>
      </c>
      <c r="E37" s="6">
        <f>COUNTIF(E3:E22,1) + COUNTIF(G3:G22,1)</f>
        <v>2</v>
      </c>
    </row>
    <row r="38" spans="1:10" x14ac:dyDescent="0.35">
      <c r="C38" s="5" t="s">
        <v>10</v>
      </c>
      <c r="D38" s="6">
        <f>COUNTIF(F3:F33,1) + COUNTIF(H3:H33,1) + COUNTIF(I3:I33,1) + COUNTIF(J3:J33,1)</f>
        <v>25</v>
      </c>
      <c r="E38" s="6">
        <f>COUNTIF(F3:F22,1) + COUNTIF(H3:H22,1) + COUNTIF(I3:I22,1) + COUNTIF(J3:J22,1)</f>
        <v>18</v>
      </c>
    </row>
    <row r="39" spans="1:10" x14ac:dyDescent="0.35">
      <c r="C39" s="5" t="s">
        <v>9</v>
      </c>
      <c r="D39" s="6">
        <f>COUNTIF(F3:F33,1) + COUNTIF(H3:H33,1)</f>
        <v>0</v>
      </c>
      <c r="E39" s="6">
        <f>COUNTIF(F3:F22,1) + COUNTIF(H3:H22,1)</f>
        <v>0</v>
      </c>
    </row>
    <row r="40" spans="1:10" x14ac:dyDescent="0.35">
      <c r="C40" s="5" t="s">
        <v>209</v>
      </c>
      <c r="D40" s="6">
        <f>COUNTIF(E3:E33,1) + COUNTIF(F3:F33,1) + COUNTIF(G3:G33,1) + COUNTIF(H3:H33,1) +COUNTIF(I3:I33,1) + COUNTIF(J3:J33,1)</f>
        <v>31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142</v>
      </c>
      <c r="C43" s="4" t="s">
        <v>28</v>
      </c>
      <c r="D43" t="s">
        <v>98</v>
      </c>
      <c r="I43">
        <v>1</v>
      </c>
    </row>
    <row r="44" spans="1:10" x14ac:dyDescent="0.35">
      <c r="A44">
        <v>2</v>
      </c>
      <c r="B44" t="s">
        <v>142</v>
      </c>
      <c r="C44" s="4" t="s">
        <v>28</v>
      </c>
      <c r="D44" t="s">
        <v>99</v>
      </c>
      <c r="E44">
        <v>1</v>
      </c>
    </row>
    <row r="45" spans="1:10" x14ac:dyDescent="0.35">
      <c r="A45">
        <v>3</v>
      </c>
      <c r="B45" t="s">
        <v>142</v>
      </c>
      <c r="C45" s="4" t="s">
        <v>28</v>
      </c>
      <c r="D45" t="s">
        <v>100</v>
      </c>
      <c r="I45">
        <v>1</v>
      </c>
    </row>
    <row r="46" spans="1:10" x14ac:dyDescent="0.35">
      <c r="A46">
        <v>4</v>
      </c>
      <c r="B46" t="s">
        <v>142</v>
      </c>
      <c r="C46" s="4" t="s">
        <v>28</v>
      </c>
      <c r="D46" t="s">
        <v>101</v>
      </c>
      <c r="E46">
        <v>1</v>
      </c>
    </row>
    <row r="47" spans="1:10" x14ac:dyDescent="0.35">
      <c r="A47">
        <v>5</v>
      </c>
      <c r="B47" t="s">
        <v>142</v>
      </c>
      <c r="C47" s="4" t="s">
        <v>28</v>
      </c>
      <c r="D47" t="s">
        <v>102</v>
      </c>
      <c r="I47">
        <v>1</v>
      </c>
    </row>
    <row r="48" spans="1:10" x14ac:dyDescent="0.35">
      <c r="A48">
        <v>6</v>
      </c>
      <c r="B48" t="s">
        <v>142</v>
      </c>
      <c r="C48" s="4" t="s">
        <v>28</v>
      </c>
      <c r="D48" t="s">
        <v>103</v>
      </c>
      <c r="E48">
        <v>1</v>
      </c>
    </row>
    <row r="49" spans="1:9" x14ac:dyDescent="0.35">
      <c r="A49">
        <v>7</v>
      </c>
      <c r="B49" t="s">
        <v>142</v>
      </c>
      <c r="C49" s="4" t="s">
        <v>28</v>
      </c>
      <c r="D49" t="s">
        <v>104</v>
      </c>
      <c r="I49">
        <v>1</v>
      </c>
    </row>
    <row r="50" spans="1:9" x14ac:dyDescent="0.35">
      <c r="A50">
        <v>8</v>
      </c>
      <c r="B50" t="s">
        <v>142</v>
      </c>
      <c r="C50" s="4" t="s">
        <v>28</v>
      </c>
      <c r="D50" t="s">
        <v>105</v>
      </c>
      <c r="E50">
        <v>1</v>
      </c>
    </row>
    <row r="51" spans="1:9" x14ac:dyDescent="0.35">
      <c r="A51">
        <v>9</v>
      </c>
      <c r="B51" t="s">
        <v>142</v>
      </c>
      <c r="C51" s="4" t="s">
        <v>28</v>
      </c>
      <c r="D51" t="s">
        <v>106</v>
      </c>
      <c r="I51">
        <v>1</v>
      </c>
    </row>
    <row r="52" spans="1:9" x14ac:dyDescent="0.35">
      <c r="A52">
        <v>10</v>
      </c>
      <c r="B52" t="s">
        <v>142</v>
      </c>
      <c r="C52" s="4" t="s">
        <v>28</v>
      </c>
      <c r="D52" t="s">
        <v>107</v>
      </c>
      <c r="I52">
        <v>1</v>
      </c>
    </row>
    <row r="53" spans="1:9" x14ac:dyDescent="0.35">
      <c r="A53">
        <v>11</v>
      </c>
      <c r="B53" t="s">
        <v>142</v>
      </c>
      <c r="C53" s="4" t="s">
        <v>28</v>
      </c>
      <c r="D53" t="s">
        <v>108</v>
      </c>
      <c r="I53">
        <v>1</v>
      </c>
    </row>
    <row r="54" spans="1:9" x14ac:dyDescent="0.35">
      <c r="A54">
        <v>12</v>
      </c>
      <c r="B54" t="s">
        <v>142</v>
      </c>
      <c r="C54" s="4" t="s">
        <v>28</v>
      </c>
      <c r="D54" t="s">
        <v>109</v>
      </c>
      <c r="E54">
        <v>1</v>
      </c>
    </row>
    <row r="55" spans="1:9" x14ac:dyDescent="0.35">
      <c r="A55">
        <v>13</v>
      </c>
      <c r="B55" t="s">
        <v>142</v>
      </c>
      <c r="C55" s="4" t="s">
        <v>28</v>
      </c>
      <c r="D55" t="s">
        <v>110</v>
      </c>
      <c r="G55">
        <v>1</v>
      </c>
    </row>
    <row r="56" spans="1:9" x14ac:dyDescent="0.35">
      <c r="A56">
        <v>14</v>
      </c>
      <c r="B56" t="s">
        <v>142</v>
      </c>
      <c r="C56" s="4" t="s">
        <v>28</v>
      </c>
      <c r="D56" t="s">
        <v>111</v>
      </c>
      <c r="I56">
        <v>1</v>
      </c>
    </row>
    <row r="57" spans="1:9" x14ac:dyDescent="0.35">
      <c r="A57">
        <v>15</v>
      </c>
      <c r="B57" t="s">
        <v>142</v>
      </c>
      <c r="C57" s="4" t="s">
        <v>28</v>
      </c>
      <c r="D57" t="s">
        <v>112</v>
      </c>
      <c r="G57">
        <v>1</v>
      </c>
    </row>
    <row r="58" spans="1:9" x14ac:dyDescent="0.35">
      <c r="A58">
        <v>16</v>
      </c>
      <c r="B58" t="s">
        <v>142</v>
      </c>
      <c r="C58" s="4" t="s">
        <v>28</v>
      </c>
      <c r="D58" t="s">
        <v>113</v>
      </c>
      <c r="I58">
        <v>1</v>
      </c>
    </row>
    <row r="59" spans="1:9" x14ac:dyDescent="0.35">
      <c r="A59">
        <v>17</v>
      </c>
      <c r="B59" t="s">
        <v>142</v>
      </c>
      <c r="C59" s="4" t="s">
        <v>28</v>
      </c>
      <c r="D59" t="s">
        <v>114</v>
      </c>
      <c r="I59">
        <v>1</v>
      </c>
    </row>
    <row r="60" spans="1:9" x14ac:dyDescent="0.35">
      <c r="A60">
        <v>18</v>
      </c>
      <c r="B60" t="s">
        <v>142</v>
      </c>
      <c r="C60" s="4" t="s">
        <v>28</v>
      </c>
      <c r="D60" t="s">
        <v>115</v>
      </c>
      <c r="E60">
        <v>1</v>
      </c>
    </row>
    <row r="61" spans="1:9" x14ac:dyDescent="0.35">
      <c r="A61">
        <v>19</v>
      </c>
      <c r="B61" t="s">
        <v>142</v>
      </c>
      <c r="C61" s="4" t="s">
        <v>28</v>
      </c>
      <c r="D61" t="s">
        <v>116</v>
      </c>
      <c r="I61">
        <v>1</v>
      </c>
    </row>
    <row r="62" spans="1:9" x14ac:dyDescent="0.35">
      <c r="A62">
        <v>20</v>
      </c>
      <c r="B62" t="s">
        <v>142</v>
      </c>
      <c r="C62" s="4" t="s">
        <v>28</v>
      </c>
      <c r="D62" t="s">
        <v>117</v>
      </c>
      <c r="G62">
        <v>1</v>
      </c>
    </row>
    <row r="63" spans="1:9" x14ac:dyDescent="0.35">
      <c r="A63">
        <v>21</v>
      </c>
      <c r="B63" t="s">
        <v>142</v>
      </c>
      <c r="C63" s="4" t="s">
        <v>28</v>
      </c>
      <c r="D63" t="s">
        <v>118</v>
      </c>
      <c r="I63">
        <v>1</v>
      </c>
    </row>
    <row r="64" spans="1:9" x14ac:dyDescent="0.35">
      <c r="A64">
        <v>22</v>
      </c>
      <c r="B64" t="s">
        <v>142</v>
      </c>
      <c r="C64" s="4" t="s">
        <v>28</v>
      </c>
      <c r="D64" t="s">
        <v>119</v>
      </c>
      <c r="I64">
        <v>1</v>
      </c>
    </row>
    <row r="65" spans="1:9" x14ac:dyDescent="0.35">
      <c r="A65">
        <v>23</v>
      </c>
      <c r="B65" t="s">
        <v>142</v>
      </c>
      <c r="C65" s="4" t="s">
        <v>28</v>
      </c>
      <c r="D65" t="s">
        <v>120</v>
      </c>
      <c r="I65">
        <v>1</v>
      </c>
    </row>
    <row r="66" spans="1:9" x14ac:dyDescent="0.35">
      <c r="A66">
        <v>24</v>
      </c>
      <c r="B66" t="s">
        <v>142</v>
      </c>
      <c r="C66" s="4" t="s">
        <v>28</v>
      </c>
      <c r="D66" t="s">
        <v>121</v>
      </c>
      <c r="I66">
        <v>1</v>
      </c>
    </row>
    <row r="67" spans="1:9" x14ac:dyDescent="0.35">
      <c r="A67">
        <v>25</v>
      </c>
      <c r="B67" t="s">
        <v>142</v>
      </c>
      <c r="C67" s="4" t="s">
        <v>28</v>
      </c>
      <c r="D67" t="s">
        <v>122</v>
      </c>
      <c r="G67">
        <v>1</v>
      </c>
    </row>
    <row r="68" spans="1:9" x14ac:dyDescent="0.35">
      <c r="A68">
        <v>26</v>
      </c>
      <c r="B68" t="s">
        <v>142</v>
      </c>
      <c r="C68" s="4" t="s">
        <v>28</v>
      </c>
      <c r="D68" t="s">
        <v>123</v>
      </c>
      <c r="I68">
        <v>1</v>
      </c>
    </row>
    <row r="69" spans="1:9" x14ac:dyDescent="0.35">
      <c r="A69">
        <v>27</v>
      </c>
      <c r="B69" t="s">
        <v>142</v>
      </c>
      <c r="C69" s="4" t="s">
        <v>28</v>
      </c>
      <c r="D69" t="s">
        <v>124</v>
      </c>
      <c r="I69">
        <v>1</v>
      </c>
    </row>
    <row r="70" spans="1:9" x14ac:dyDescent="0.35">
      <c r="A70">
        <v>28</v>
      </c>
      <c r="B70" t="s">
        <v>142</v>
      </c>
      <c r="C70" s="4" t="s">
        <v>28</v>
      </c>
      <c r="D70" t="s">
        <v>125</v>
      </c>
      <c r="I70">
        <v>1</v>
      </c>
    </row>
    <row r="71" spans="1:9" x14ac:dyDescent="0.35">
      <c r="A71">
        <v>29</v>
      </c>
      <c r="B71" t="s">
        <v>142</v>
      </c>
      <c r="C71" s="4" t="s">
        <v>28</v>
      </c>
      <c r="D71" t="s">
        <v>126</v>
      </c>
      <c r="I71">
        <v>1</v>
      </c>
    </row>
    <row r="72" spans="1:9" x14ac:dyDescent="0.35">
      <c r="A72">
        <v>30</v>
      </c>
      <c r="B72" t="s">
        <v>142</v>
      </c>
      <c r="C72" s="4" t="s">
        <v>28</v>
      </c>
      <c r="D72" t="s">
        <v>127</v>
      </c>
      <c r="I72">
        <v>1</v>
      </c>
    </row>
    <row r="73" spans="1:9" x14ac:dyDescent="0.35">
      <c r="A73">
        <v>31</v>
      </c>
      <c r="B73" t="s">
        <v>142</v>
      </c>
      <c r="C73" s="4" t="s">
        <v>28</v>
      </c>
      <c r="D73" t="s">
        <v>128</v>
      </c>
      <c r="E73">
        <v>1</v>
      </c>
    </row>
    <row r="76" spans="1:9" x14ac:dyDescent="0.35">
      <c r="C76" s="5" t="s">
        <v>7</v>
      </c>
      <c r="D76" s="6">
        <f>COUNTIF(E43:E73,1)</f>
        <v>7</v>
      </c>
      <c r="E76" s="6">
        <f>COUNTIF(E43:E62,1)</f>
        <v>6</v>
      </c>
    </row>
    <row r="77" spans="1:9" x14ac:dyDescent="0.35">
      <c r="C77" s="5" t="s">
        <v>8</v>
      </c>
      <c r="D77" s="6">
        <f>COUNTIF(E43:E73,1) + COUNTIF(G43:G73,1)</f>
        <v>11</v>
      </c>
      <c r="E77" s="6">
        <f>COUNTIF(E43:E62,1) + COUNTIF(G43:G62,1)</f>
        <v>9</v>
      </c>
    </row>
    <row r="78" spans="1:9" x14ac:dyDescent="0.35">
      <c r="C78" s="5" t="s">
        <v>10</v>
      </c>
      <c r="D78" s="6">
        <f>COUNTIF(F43:F73,1) + COUNTIF(H43:H73,1) + COUNTIF(I43:I73,1) + COUNTIF(J43:J73,1)</f>
        <v>20</v>
      </c>
      <c r="E78" s="6">
        <f>COUNTIF(F43:F62,1) + COUNTIF(H43:H62,1) + COUNTIF(I43:I62,1) + COUNTIF(J43:J62,1)</f>
        <v>11</v>
      </c>
    </row>
    <row r="79" spans="1:9" x14ac:dyDescent="0.35">
      <c r="C79" s="5" t="s">
        <v>9</v>
      </c>
      <c r="D79" s="6">
        <f>COUNTIF(F43:F73,1) + COUNTIF(H43:H73,1)</f>
        <v>0</v>
      </c>
      <c r="E79" s="6">
        <f>COUNTIF(F43:F62,1) + COUNTIF(H43:H62,1)</f>
        <v>0</v>
      </c>
    </row>
    <row r="80" spans="1:9" x14ac:dyDescent="0.35">
      <c r="C80" s="5" t="s">
        <v>209</v>
      </c>
      <c r="D80" s="6">
        <f>COUNTIF(E43:E73,1) + COUNTIF(F43:F73,1) + COUNTIF(G43:G73,1) + COUNTIF(H43:H73,1) +COUNTIF(I43:I73,1) + COUNTIF(J43:J73,1)</f>
        <v>31</v>
      </c>
      <c r="E80" s="6">
        <f>COUNTIF(E43:E62,1) + COUNTIF(F43:F62,1) + COUNTIF(G43:G62,1) + COUNTIF(H43:H62,1) + COUNTIF(K43:K62,1) + COUNTIF(J43:J62,1) + COUNTIF(I43:I62,1)</f>
        <v>20</v>
      </c>
    </row>
  </sheetData>
  <conditionalFormatting sqref="E3:E33">
    <cfRule type="cellIs" dxfId="112" priority="7" operator="between">
      <formula>1</formula>
      <formula>1</formula>
    </cfRule>
  </conditionalFormatting>
  <conditionalFormatting sqref="E43:E73">
    <cfRule type="cellIs" dxfId="111" priority="4" operator="between">
      <formula>1</formula>
      <formula>1</formula>
    </cfRule>
  </conditionalFormatting>
  <conditionalFormatting sqref="F3:F33">
    <cfRule type="cellIs" dxfId="110" priority="5" operator="between">
      <formula>1</formula>
      <formula>1</formula>
    </cfRule>
  </conditionalFormatting>
  <conditionalFormatting sqref="F43:F72">
    <cfRule type="cellIs" dxfId="109" priority="3" operator="between">
      <formula>1</formula>
      <formula>1</formula>
    </cfRule>
  </conditionalFormatting>
  <conditionalFormatting sqref="G3:G33">
    <cfRule type="cellIs" dxfId="108" priority="8" operator="between">
      <formula>1</formula>
      <formula>2</formula>
    </cfRule>
  </conditionalFormatting>
  <conditionalFormatting sqref="G43:G72">
    <cfRule type="cellIs" dxfId="107" priority="2" operator="between">
      <formula>1</formula>
      <formula>1</formula>
    </cfRule>
  </conditionalFormatting>
  <conditionalFormatting sqref="H3:J33">
    <cfRule type="cellIs" dxfId="106" priority="6" operator="between">
      <formula>1</formula>
      <formula>1</formula>
    </cfRule>
  </conditionalFormatting>
  <conditionalFormatting sqref="H43:J72">
    <cfRule type="cellIs" dxfId="105" priority="1" operator="between">
      <formula>1</formula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7A7D-4998-497B-85B6-9B3E7A2147B4}">
  <dimension ref="A2:J80"/>
  <sheetViews>
    <sheetView topLeftCell="A64" zoomScale="90" zoomScaleNormal="90" workbookViewId="0">
      <selection activeCell="E76" sqref="E76: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143</v>
      </c>
      <c r="C3" s="2" t="s">
        <v>11</v>
      </c>
      <c r="D3" t="s">
        <v>148</v>
      </c>
      <c r="I3">
        <v>1</v>
      </c>
    </row>
    <row r="4" spans="1:10" x14ac:dyDescent="0.35">
      <c r="A4">
        <v>2</v>
      </c>
      <c r="B4" t="s">
        <v>143</v>
      </c>
      <c r="C4" s="2" t="s">
        <v>11</v>
      </c>
      <c r="D4" t="s">
        <v>149</v>
      </c>
      <c r="I4">
        <v>1</v>
      </c>
    </row>
    <row r="5" spans="1:10" x14ac:dyDescent="0.35">
      <c r="A5">
        <v>3</v>
      </c>
      <c r="B5" t="s">
        <v>143</v>
      </c>
      <c r="C5" s="2" t="s">
        <v>11</v>
      </c>
      <c r="D5" t="s">
        <v>150</v>
      </c>
      <c r="I5">
        <v>1</v>
      </c>
    </row>
    <row r="6" spans="1:10" x14ac:dyDescent="0.35">
      <c r="A6">
        <v>4</v>
      </c>
      <c r="B6" t="s">
        <v>143</v>
      </c>
      <c r="C6" s="2" t="s">
        <v>11</v>
      </c>
      <c r="D6" t="s">
        <v>151</v>
      </c>
      <c r="I6">
        <v>1</v>
      </c>
    </row>
    <row r="7" spans="1:10" x14ac:dyDescent="0.35">
      <c r="A7">
        <v>5</v>
      </c>
      <c r="B7" t="s">
        <v>143</v>
      </c>
      <c r="C7" s="2" t="s">
        <v>11</v>
      </c>
      <c r="D7" t="s">
        <v>152</v>
      </c>
      <c r="G7">
        <v>1</v>
      </c>
    </row>
    <row r="8" spans="1:10" x14ac:dyDescent="0.35">
      <c r="A8">
        <v>6</v>
      </c>
      <c r="B8" t="s">
        <v>143</v>
      </c>
      <c r="C8" s="2" t="s">
        <v>11</v>
      </c>
      <c r="D8" t="s">
        <v>153</v>
      </c>
      <c r="I8">
        <v>1</v>
      </c>
    </row>
    <row r="9" spans="1:10" x14ac:dyDescent="0.35">
      <c r="A9">
        <v>7</v>
      </c>
      <c r="B9" t="s">
        <v>143</v>
      </c>
      <c r="C9" s="2" t="s">
        <v>11</v>
      </c>
      <c r="D9" t="s">
        <v>154</v>
      </c>
      <c r="I9">
        <v>1</v>
      </c>
    </row>
    <row r="10" spans="1:10" x14ac:dyDescent="0.35">
      <c r="A10">
        <v>8</v>
      </c>
      <c r="B10" t="s">
        <v>143</v>
      </c>
      <c r="C10" s="2" t="s">
        <v>11</v>
      </c>
      <c r="D10" t="s">
        <v>155</v>
      </c>
      <c r="I10">
        <v>1</v>
      </c>
    </row>
    <row r="11" spans="1:10" x14ac:dyDescent="0.35">
      <c r="A11">
        <v>9</v>
      </c>
      <c r="B11" t="s">
        <v>143</v>
      </c>
      <c r="C11" s="2" t="s">
        <v>11</v>
      </c>
      <c r="D11" t="s">
        <v>156</v>
      </c>
      <c r="I11">
        <v>1</v>
      </c>
    </row>
    <row r="12" spans="1:10" x14ac:dyDescent="0.35">
      <c r="A12">
        <v>10</v>
      </c>
      <c r="B12" t="s">
        <v>143</v>
      </c>
      <c r="C12" s="2" t="s">
        <v>11</v>
      </c>
      <c r="D12" t="s">
        <v>157</v>
      </c>
      <c r="I12">
        <v>1</v>
      </c>
    </row>
    <row r="13" spans="1:10" x14ac:dyDescent="0.35">
      <c r="A13">
        <v>11</v>
      </c>
      <c r="B13" t="s">
        <v>143</v>
      </c>
      <c r="C13" s="2" t="s">
        <v>11</v>
      </c>
      <c r="D13" t="s">
        <v>158</v>
      </c>
      <c r="I13">
        <v>1</v>
      </c>
    </row>
    <row r="14" spans="1:10" x14ac:dyDescent="0.35">
      <c r="A14">
        <v>12</v>
      </c>
      <c r="B14" t="s">
        <v>143</v>
      </c>
      <c r="C14" s="2" t="s">
        <v>11</v>
      </c>
      <c r="D14" t="s">
        <v>159</v>
      </c>
      <c r="I14">
        <v>1</v>
      </c>
    </row>
    <row r="15" spans="1:10" x14ac:dyDescent="0.35">
      <c r="A15">
        <v>13</v>
      </c>
      <c r="B15" t="s">
        <v>143</v>
      </c>
      <c r="C15" s="2" t="s">
        <v>11</v>
      </c>
      <c r="D15" t="s">
        <v>160</v>
      </c>
      <c r="I15">
        <v>1</v>
      </c>
    </row>
    <row r="16" spans="1:10" x14ac:dyDescent="0.35">
      <c r="A16">
        <v>14</v>
      </c>
      <c r="B16" t="s">
        <v>143</v>
      </c>
      <c r="C16" s="2" t="s">
        <v>11</v>
      </c>
      <c r="D16" t="s">
        <v>161</v>
      </c>
      <c r="I16">
        <v>1</v>
      </c>
    </row>
    <row r="17" spans="1:9" x14ac:dyDescent="0.35">
      <c r="A17">
        <v>15</v>
      </c>
      <c r="B17" t="s">
        <v>143</v>
      </c>
      <c r="C17" s="2" t="s">
        <v>11</v>
      </c>
      <c r="D17" t="s">
        <v>162</v>
      </c>
      <c r="I17">
        <v>1</v>
      </c>
    </row>
    <row r="18" spans="1:9" x14ac:dyDescent="0.35">
      <c r="A18">
        <v>16</v>
      </c>
      <c r="B18" t="s">
        <v>143</v>
      </c>
      <c r="C18" s="2" t="s">
        <v>11</v>
      </c>
      <c r="D18" t="s">
        <v>163</v>
      </c>
      <c r="I18">
        <v>1</v>
      </c>
    </row>
    <row r="19" spans="1:9" x14ac:dyDescent="0.35">
      <c r="A19">
        <v>17</v>
      </c>
      <c r="B19" t="s">
        <v>143</v>
      </c>
      <c r="C19" s="2" t="s">
        <v>11</v>
      </c>
      <c r="D19" t="s">
        <v>164</v>
      </c>
      <c r="I19">
        <v>1</v>
      </c>
    </row>
    <row r="20" spans="1:9" x14ac:dyDescent="0.35">
      <c r="A20">
        <v>18</v>
      </c>
      <c r="B20" t="s">
        <v>143</v>
      </c>
      <c r="C20" s="2" t="s">
        <v>11</v>
      </c>
      <c r="D20" t="s">
        <v>165</v>
      </c>
      <c r="I20">
        <v>1</v>
      </c>
    </row>
    <row r="21" spans="1:9" x14ac:dyDescent="0.35">
      <c r="A21">
        <v>19</v>
      </c>
      <c r="B21" t="s">
        <v>143</v>
      </c>
      <c r="C21" s="2" t="s">
        <v>11</v>
      </c>
      <c r="D21" t="s">
        <v>166</v>
      </c>
      <c r="G21">
        <v>1</v>
      </c>
    </row>
    <row r="22" spans="1:9" x14ac:dyDescent="0.35">
      <c r="A22">
        <v>20</v>
      </c>
      <c r="B22" t="s">
        <v>143</v>
      </c>
      <c r="C22" s="2" t="s">
        <v>11</v>
      </c>
      <c r="D22" t="s">
        <v>167</v>
      </c>
      <c r="I22">
        <v>1</v>
      </c>
    </row>
    <row r="23" spans="1:9" x14ac:dyDescent="0.35">
      <c r="A23">
        <v>21</v>
      </c>
      <c r="B23" t="s">
        <v>143</v>
      </c>
      <c r="C23" s="2" t="s">
        <v>11</v>
      </c>
      <c r="D23" t="s">
        <v>168</v>
      </c>
      <c r="I23">
        <v>1</v>
      </c>
    </row>
    <row r="24" spans="1:9" x14ac:dyDescent="0.35">
      <c r="A24">
        <v>22</v>
      </c>
      <c r="B24" t="s">
        <v>143</v>
      </c>
      <c r="C24" s="2" t="s">
        <v>11</v>
      </c>
      <c r="D24" t="s">
        <v>169</v>
      </c>
      <c r="G24">
        <v>1</v>
      </c>
    </row>
    <row r="25" spans="1:9" x14ac:dyDescent="0.35">
      <c r="A25">
        <v>23</v>
      </c>
      <c r="B25" t="s">
        <v>143</v>
      </c>
      <c r="C25" s="2" t="s">
        <v>11</v>
      </c>
      <c r="D25" t="s">
        <v>170</v>
      </c>
      <c r="I25">
        <v>1</v>
      </c>
    </row>
    <row r="26" spans="1:9" x14ac:dyDescent="0.35">
      <c r="A26">
        <v>24</v>
      </c>
      <c r="B26" t="s">
        <v>143</v>
      </c>
      <c r="C26" s="2" t="s">
        <v>11</v>
      </c>
      <c r="D26" t="s">
        <v>171</v>
      </c>
      <c r="E26">
        <v>1</v>
      </c>
    </row>
    <row r="27" spans="1:9" x14ac:dyDescent="0.35">
      <c r="A27">
        <v>25</v>
      </c>
      <c r="B27" t="s">
        <v>143</v>
      </c>
      <c r="C27" s="2" t="s">
        <v>11</v>
      </c>
      <c r="D27" t="s">
        <v>172</v>
      </c>
      <c r="I27">
        <v>1</v>
      </c>
    </row>
    <row r="28" spans="1:9" x14ac:dyDescent="0.35">
      <c r="A28">
        <v>26</v>
      </c>
      <c r="B28" t="s">
        <v>143</v>
      </c>
      <c r="C28" s="2" t="s">
        <v>11</v>
      </c>
      <c r="D28" t="s">
        <v>173</v>
      </c>
      <c r="G28">
        <v>1</v>
      </c>
    </row>
    <row r="29" spans="1:9" x14ac:dyDescent="0.35">
      <c r="A29">
        <v>27</v>
      </c>
      <c r="B29" t="s">
        <v>143</v>
      </c>
      <c r="C29" s="2" t="s">
        <v>11</v>
      </c>
      <c r="D29" t="s">
        <v>174</v>
      </c>
      <c r="I29">
        <v>1</v>
      </c>
    </row>
    <row r="30" spans="1:9" x14ac:dyDescent="0.35">
      <c r="A30">
        <v>28</v>
      </c>
      <c r="B30" t="s">
        <v>143</v>
      </c>
      <c r="C30" s="2" t="s">
        <v>11</v>
      </c>
      <c r="D30" t="s">
        <v>175</v>
      </c>
      <c r="H30">
        <v>1</v>
      </c>
    </row>
    <row r="31" spans="1:9" x14ac:dyDescent="0.35">
      <c r="A31">
        <v>29</v>
      </c>
      <c r="B31" t="s">
        <v>143</v>
      </c>
      <c r="C31" s="2" t="s">
        <v>11</v>
      </c>
      <c r="D31" t="s">
        <v>176</v>
      </c>
      <c r="I31">
        <v>1</v>
      </c>
    </row>
    <row r="32" spans="1:9" x14ac:dyDescent="0.35">
      <c r="A32">
        <v>30</v>
      </c>
      <c r="B32" t="s">
        <v>143</v>
      </c>
      <c r="C32" s="2" t="s">
        <v>11</v>
      </c>
      <c r="D32" t="s">
        <v>177</v>
      </c>
      <c r="G32">
        <v>1</v>
      </c>
    </row>
    <row r="33" spans="1:10" x14ac:dyDescent="0.35">
      <c r="A33">
        <v>31</v>
      </c>
      <c r="B33" t="s">
        <v>143</v>
      </c>
      <c r="C33" s="2" t="s">
        <v>11</v>
      </c>
      <c r="D33" t="s">
        <v>178</v>
      </c>
      <c r="H33">
        <v>1</v>
      </c>
    </row>
    <row r="36" spans="1:10" x14ac:dyDescent="0.35">
      <c r="C36" s="5" t="s">
        <v>7</v>
      </c>
      <c r="D36" s="6">
        <f>COUNTIF(E3:E33,1)</f>
        <v>1</v>
      </c>
      <c r="E36" s="6">
        <f>COUNTIF(E3:E22,1)</f>
        <v>0</v>
      </c>
    </row>
    <row r="37" spans="1:10" x14ac:dyDescent="0.35">
      <c r="C37" s="5" t="s">
        <v>8</v>
      </c>
      <c r="D37" s="6">
        <f>COUNTIF(E3:E33,1) + COUNTIF(G3:G33,1)</f>
        <v>6</v>
      </c>
      <c r="E37" s="6">
        <f>COUNTIF(E3:E22,1) + COUNTIF(G3:G22,1)</f>
        <v>2</v>
      </c>
    </row>
    <row r="38" spans="1:10" x14ac:dyDescent="0.35">
      <c r="C38" s="5" t="s">
        <v>10</v>
      </c>
      <c r="D38" s="6">
        <f>COUNTIF(F3:F33,1) + COUNTIF(H3:H33,1) + COUNTIF(I3:I33,1) + COUNTIF(J3:J33,1)</f>
        <v>25</v>
      </c>
      <c r="E38" s="6">
        <f>COUNTIF(F3:F22,1) + COUNTIF(H3:H22,1) + COUNTIF(I3:I22,1) + COUNTIF(J3:J22,1)</f>
        <v>18</v>
      </c>
    </row>
    <row r="39" spans="1:10" x14ac:dyDescent="0.35">
      <c r="C39" s="5" t="s">
        <v>9</v>
      </c>
      <c r="D39" s="6">
        <f>COUNTIF(F3:F33,1) + COUNTIF(H3:H33,1)</f>
        <v>2</v>
      </c>
      <c r="E39" s="6">
        <f>COUNTIF(F3:F22,1) + COUNTIF(H3:H22,1)</f>
        <v>0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31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143</v>
      </c>
      <c r="C43" s="4" t="s">
        <v>28</v>
      </c>
      <c r="D43" t="s">
        <v>179</v>
      </c>
      <c r="I43">
        <v>1</v>
      </c>
    </row>
    <row r="44" spans="1:10" x14ac:dyDescent="0.35">
      <c r="A44">
        <v>2</v>
      </c>
      <c r="B44" t="s">
        <v>143</v>
      </c>
      <c r="C44" s="4" t="s">
        <v>28</v>
      </c>
      <c r="D44" t="s">
        <v>180</v>
      </c>
      <c r="I44">
        <v>1</v>
      </c>
    </row>
    <row r="45" spans="1:10" x14ac:dyDescent="0.35">
      <c r="A45">
        <v>3</v>
      </c>
      <c r="B45" t="s">
        <v>143</v>
      </c>
      <c r="C45" s="4" t="s">
        <v>28</v>
      </c>
      <c r="D45" t="s">
        <v>181</v>
      </c>
      <c r="I45">
        <v>1</v>
      </c>
    </row>
    <row r="46" spans="1:10" x14ac:dyDescent="0.35">
      <c r="A46">
        <v>4</v>
      </c>
      <c r="B46" t="s">
        <v>143</v>
      </c>
      <c r="C46" s="4" t="s">
        <v>28</v>
      </c>
      <c r="D46" t="s">
        <v>182</v>
      </c>
      <c r="I46">
        <v>1</v>
      </c>
    </row>
    <row r="47" spans="1:10" x14ac:dyDescent="0.35">
      <c r="A47">
        <v>5</v>
      </c>
      <c r="B47" t="s">
        <v>143</v>
      </c>
      <c r="C47" s="4" t="s">
        <v>28</v>
      </c>
      <c r="D47" t="s">
        <v>183</v>
      </c>
      <c r="G47">
        <v>1</v>
      </c>
    </row>
    <row r="48" spans="1:10" x14ac:dyDescent="0.35">
      <c r="A48">
        <v>6</v>
      </c>
      <c r="B48" t="s">
        <v>143</v>
      </c>
      <c r="C48" s="4" t="s">
        <v>28</v>
      </c>
      <c r="D48" t="s">
        <v>184</v>
      </c>
      <c r="I48">
        <v>1</v>
      </c>
    </row>
    <row r="49" spans="1:9" x14ac:dyDescent="0.35">
      <c r="A49">
        <v>7</v>
      </c>
      <c r="B49" t="s">
        <v>143</v>
      </c>
      <c r="C49" s="4" t="s">
        <v>28</v>
      </c>
      <c r="D49" t="s">
        <v>185</v>
      </c>
      <c r="I49">
        <v>1</v>
      </c>
    </row>
    <row r="50" spans="1:9" x14ac:dyDescent="0.35">
      <c r="A50">
        <v>8</v>
      </c>
      <c r="B50" t="s">
        <v>143</v>
      </c>
      <c r="C50" s="4" t="s">
        <v>28</v>
      </c>
      <c r="D50" t="s">
        <v>186</v>
      </c>
      <c r="I50">
        <v>1</v>
      </c>
    </row>
    <row r="51" spans="1:9" x14ac:dyDescent="0.35">
      <c r="A51">
        <v>9</v>
      </c>
      <c r="B51" t="s">
        <v>143</v>
      </c>
      <c r="C51" s="4" t="s">
        <v>28</v>
      </c>
      <c r="D51" t="s">
        <v>187</v>
      </c>
      <c r="I51">
        <v>1</v>
      </c>
    </row>
    <row r="52" spans="1:9" x14ac:dyDescent="0.35">
      <c r="A52">
        <v>10</v>
      </c>
      <c r="B52" t="s">
        <v>143</v>
      </c>
      <c r="C52" s="4" t="s">
        <v>28</v>
      </c>
      <c r="D52" t="s">
        <v>188</v>
      </c>
      <c r="I52">
        <v>1</v>
      </c>
    </row>
    <row r="53" spans="1:9" x14ac:dyDescent="0.35">
      <c r="A53">
        <v>11</v>
      </c>
      <c r="B53" t="s">
        <v>143</v>
      </c>
      <c r="C53" s="4" t="s">
        <v>28</v>
      </c>
      <c r="D53" t="s">
        <v>189</v>
      </c>
    </row>
    <row r="54" spans="1:9" x14ac:dyDescent="0.35">
      <c r="A54">
        <v>12</v>
      </c>
      <c r="B54" t="s">
        <v>143</v>
      </c>
      <c r="C54" s="4" t="s">
        <v>28</v>
      </c>
      <c r="D54" t="s">
        <v>190</v>
      </c>
      <c r="I54">
        <v>1</v>
      </c>
    </row>
    <row r="55" spans="1:9" x14ac:dyDescent="0.35">
      <c r="A55">
        <v>13</v>
      </c>
      <c r="B55" t="s">
        <v>143</v>
      </c>
      <c r="C55" s="4" t="s">
        <v>28</v>
      </c>
      <c r="D55" t="s">
        <v>191</v>
      </c>
      <c r="I55">
        <v>1</v>
      </c>
    </row>
    <row r="56" spans="1:9" x14ac:dyDescent="0.35">
      <c r="A56">
        <v>14</v>
      </c>
      <c r="B56" t="s">
        <v>143</v>
      </c>
      <c r="C56" s="4" t="s">
        <v>28</v>
      </c>
      <c r="D56" t="s">
        <v>192</v>
      </c>
    </row>
    <row r="57" spans="1:9" x14ac:dyDescent="0.35">
      <c r="A57">
        <v>15</v>
      </c>
      <c r="B57" t="s">
        <v>143</v>
      </c>
      <c r="C57" s="4" t="s">
        <v>28</v>
      </c>
      <c r="D57" t="s">
        <v>193</v>
      </c>
      <c r="I57">
        <v>1</v>
      </c>
    </row>
    <row r="58" spans="1:9" x14ac:dyDescent="0.35">
      <c r="A58">
        <v>16</v>
      </c>
      <c r="B58" t="s">
        <v>143</v>
      </c>
      <c r="C58" s="4" t="s">
        <v>28</v>
      </c>
      <c r="D58" t="s">
        <v>194</v>
      </c>
      <c r="I58">
        <v>1</v>
      </c>
    </row>
    <row r="59" spans="1:9" x14ac:dyDescent="0.35">
      <c r="A59">
        <v>17</v>
      </c>
      <c r="B59" t="s">
        <v>143</v>
      </c>
      <c r="C59" s="4" t="s">
        <v>28</v>
      </c>
      <c r="D59" t="s">
        <v>195</v>
      </c>
      <c r="I59">
        <v>1</v>
      </c>
    </row>
    <row r="60" spans="1:9" x14ac:dyDescent="0.35">
      <c r="A60">
        <v>18</v>
      </c>
      <c r="B60" t="s">
        <v>143</v>
      </c>
      <c r="C60" s="4" t="s">
        <v>28</v>
      </c>
      <c r="D60" t="s">
        <v>196</v>
      </c>
      <c r="I60">
        <v>1</v>
      </c>
    </row>
    <row r="61" spans="1:9" x14ac:dyDescent="0.35">
      <c r="A61">
        <v>19</v>
      </c>
      <c r="B61" t="s">
        <v>143</v>
      </c>
      <c r="C61" s="4" t="s">
        <v>28</v>
      </c>
      <c r="D61" t="s">
        <v>197</v>
      </c>
      <c r="E61">
        <v>1</v>
      </c>
    </row>
    <row r="62" spans="1:9" x14ac:dyDescent="0.35">
      <c r="A62">
        <v>20</v>
      </c>
      <c r="B62" t="s">
        <v>143</v>
      </c>
      <c r="C62" s="4" t="s">
        <v>28</v>
      </c>
      <c r="D62" t="s">
        <v>198</v>
      </c>
      <c r="I62">
        <v>1</v>
      </c>
    </row>
    <row r="63" spans="1:9" x14ac:dyDescent="0.35">
      <c r="A63">
        <v>21</v>
      </c>
      <c r="B63" t="s">
        <v>143</v>
      </c>
      <c r="C63" s="4" t="s">
        <v>28</v>
      </c>
      <c r="D63" t="s">
        <v>199</v>
      </c>
      <c r="I63">
        <v>1</v>
      </c>
    </row>
    <row r="64" spans="1:9" x14ac:dyDescent="0.35">
      <c r="A64">
        <v>22</v>
      </c>
      <c r="B64" t="s">
        <v>143</v>
      </c>
      <c r="C64" s="4" t="s">
        <v>28</v>
      </c>
      <c r="D64" t="s">
        <v>200</v>
      </c>
      <c r="I64">
        <v>1</v>
      </c>
    </row>
    <row r="65" spans="1:9" x14ac:dyDescent="0.35">
      <c r="A65">
        <v>23</v>
      </c>
      <c r="B65" t="s">
        <v>143</v>
      </c>
      <c r="C65" s="4" t="s">
        <v>28</v>
      </c>
      <c r="D65" t="s">
        <v>201</v>
      </c>
      <c r="I65">
        <v>1</v>
      </c>
    </row>
    <row r="66" spans="1:9" x14ac:dyDescent="0.35">
      <c r="A66">
        <v>24</v>
      </c>
      <c r="B66" t="s">
        <v>143</v>
      </c>
      <c r="C66" s="4" t="s">
        <v>28</v>
      </c>
      <c r="D66" t="s">
        <v>202</v>
      </c>
      <c r="I66">
        <v>1</v>
      </c>
    </row>
    <row r="67" spans="1:9" x14ac:dyDescent="0.35">
      <c r="A67">
        <v>25</v>
      </c>
      <c r="B67" t="s">
        <v>143</v>
      </c>
      <c r="C67" s="4" t="s">
        <v>28</v>
      </c>
      <c r="D67" t="s">
        <v>203</v>
      </c>
      <c r="I67">
        <v>1</v>
      </c>
    </row>
    <row r="68" spans="1:9" x14ac:dyDescent="0.35">
      <c r="A68">
        <v>26</v>
      </c>
      <c r="B68" t="s">
        <v>143</v>
      </c>
      <c r="C68" s="4" t="s">
        <v>28</v>
      </c>
      <c r="D68" t="s">
        <v>204</v>
      </c>
      <c r="I68">
        <v>1</v>
      </c>
    </row>
    <row r="69" spans="1:9" x14ac:dyDescent="0.35">
      <c r="A69">
        <v>27</v>
      </c>
      <c r="B69" t="s">
        <v>143</v>
      </c>
      <c r="C69" s="4" t="s">
        <v>28</v>
      </c>
      <c r="D69" t="s">
        <v>205</v>
      </c>
      <c r="I69">
        <v>1</v>
      </c>
    </row>
    <row r="70" spans="1:9" x14ac:dyDescent="0.35">
      <c r="A70">
        <v>28</v>
      </c>
      <c r="B70" t="s">
        <v>143</v>
      </c>
      <c r="C70" s="4" t="s">
        <v>28</v>
      </c>
      <c r="D70" t="s">
        <v>206</v>
      </c>
      <c r="E70">
        <v>1</v>
      </c>
    </row>
    <row r="71" spans="1:9" x14ac:dyDescent="0.35">
      <c r="A71">
        <v>29</v>
      </c>
      <c r="B71" t="s">
        <v>143</v>
      </c>
      <c r="C71" s="4" t="s">
        <v>28</v>
      </c>
      <c r="D71" t="s">
        <v>207</v>
      </c>
      <c r="I71">
        <v>1</v>
      </c>
    </row>
    <row r="72" spans="1:9" x14ac:dyDescent="0.35">
      <c r="A72">
        <v>30</v>
      </c>
      <c r="B72" t="s">
        <v>143</v>
      </c>
      <c r="C72" s="4" t="s">
        <v>28</v>
      </c>
      <c r="D72" t="s">
        <v>208</v>
      </c>
      <c r="G72">
        <v>1</v>
      </c>
    </row>
    <row r="76" spans="1:9" x14ac:dyDescent="0.35">
      <c r="C76" s="5" t="s">
        <v>7</v>
      </c>
      <c r="D76" s="6">
        <f>COUNTIF(E43:E72,1)</f>
        <v>2</v>
      </c>
      <c r="E76" s="6">
        <f>COUNTIF(E43:E62,1)</f>
        <v>1</v>
      </c>
    </row>
    <row r="77" spans="1:9" x14ac:dyDescent="0.35">
      <c r="C77" s="5" t="s">
        <v>8</v>
      </c>
      <c r="D77" s="6">
        <f>COUNTIF(E43:E72,1) + COUNTIF(G43:G72,1)</f>
        <v>4</v>
      </c>
      <c r="E77" s="6">
        <f>COUNTIF(E43:E62,1) + COUNTIF(G43:G62,1)</f>
        <v>2</v>
      </c>
    </row>
    <row r="78" spans="1:9" x14ac:dyDescent="0.35">
      <c r="C78" s="5" t="s">
        <v>10</v>
      </c>
      <c r="D78" s="6">
        <f>COUNTIF(F43:F72,1) + COUNTIF(H43:H72,1) + COUNTIF(I43:I72,1) + COUNTIF(J43:J72,1)</f>
        <v>24</v>
      </c>
      <c r="E78" s="6">
        <f>COUNTIF(F43:F62,1) + COUNTIF(H43:H62,1) + COUNTIF(I43:I62,1) + COUNTIF(J43:J62,1)</f>
        <v>16</v>
      </c>
    </row>
    <row r="79" spans="1:9" x14ac:dyDescent="0.35">
      <c r="C79" s="5" t="s">
        <v>9</v>
      </c>
      <c r="D79" s="6">
        <f>COUNTIF(F43:F72,1) + COUNTIF(H43:H72,1)</f>
        <v>0</v>
      </c>
      <c r="E79" s="6">
        <f>COUNTIF(F43:F62,1) + COUNTIF(H43:H62,1)</f>
        <v>0</v>
      </c>
    </row>
    <row r="80" spans="1:9" x14ac:dyDescent="0.35">
      <c r="C80" s="5" t="s">
        <v>209</v>
      </c>
      <c r="D80" s="6">
        <f>COUNTIF(F43:F72,1) + COUNTIF(E43:E72,1) + COUNTIF(G43:G72,1) + COUNTIF(H43:H72,1) + COUNTIF(I43:I72,1) + COUNTIF(J43:J72,1)</f>
        <v>28</v>
      </c>
      <c r="E80" s="6">
        <f>COUNTIF(E43:E62,1) + COUNTIF(F43:F62,1) + COUNTIF(G43:G62,1) + COUNTIF(H43:H62,1) + COUNTIF(K43:K62,1) + COUNTIF(J43:J62,1) + COUNTIF(I43:I62,1)</f>
        <v>18</v>
      </c>
    </row>
  </sheetData>
  <phoneticPr fontId="1" type="noConversion"/>
  <conditionalFormatting sqref="E3:E16">
    <cfRule type="cellIs" dxfId="104" priority="10" operator="between">
      <formula>1</formula>
      <formula>1</formula>
    </cfRule>
  </conditionalFormatting>
  <conditionalFormatting sqref="E3:E33">
    <cfRule type="colorScale" priority="1">
      <colorScale>
        <cfvo type="num" val="1"/>
        <cfvo type="max"/>
        <color theme="9"/>
        <color theme="9"/>
      </colorScale>
    </cfRule>
  </conditionalFormatting>
  <conditionalFormatting sqref="E21:E22">
    <cfRule type="expression" dxfId="103" priority="2">
      <formula>ISNIETLEEG($E$3:$E$33)</formula>
    </cfRule>
  </conditionalFormatting>
  <conditionalFormatting sqref="E43:E73">
    <cfRule type="cellIs" dxfId="102" priority="7" operator="between">
      <formula>1</formula>
      <formula>1</formula>
    </cfRule>
  </conditionalFormatting>
  <conditionalFormatting sqref="F3:F33">
    <cfRule type="cellIs" dxfId="101" priority="8" operator="between">
      <formula>1</formula>
      <formula>1</formula>
    </cfRule>
  </conditionalFormatting>
  <conditionalFormatting sqref="F43:F73">
    <cfRule type="cellIs" dxfId="100" priority="6" operator="between">
      <formula>1</formula>
      <formula>1</formula>
    </cfRule>
  </conditionalFormatting>
  <conditionalFormatting sqref="G3:G33">
    <cfRule type="cellIs" dxfId="99" priority="11" operator="between">
      <formula>1</formula>
      <formula>2</formula>
    </cfRule>
  </conditionalFormatting>
  <conditionalFormatting sqref="G43:G73">
    <cfRule type="cellIs" dxfId="98" priority="5" operator="between">
      <formula>1</formula>
      <formula>1</formula>
    </cfRule>
  </conditionalFormatting>
  <conditionalFormatting sqref="H3:J33">
    <cfRule type="cellIs" dxfId="97" priority="9" operator="between">
      <formula>1</formula>
      <formula>1</formula>
    </cfRule>
  </conditionalFormatting>
  <conditionalFormatting sqref="H43:J73">
    <cfRule type="cellIs" dxfId="96" priority="4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97B2-E48E-4D50-97B4-84F2433DB610}">
  <dimension ref="A2:J80"/>
  <sheetViews>
    <sheetView topLeftCell="A22" zoomScale="90" zoomScaleNormal="90" workbookViewId="0">
      <selection activeCell="C76" sqref="C76:D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12.4531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144</v>
      </c>
      <c r="C3" s="2" t="s">
        <v>11</v>
      </c>
    </row>
    <row r="4" spans="1:10" x14ac:dyDescent="0.35">
      <c r="A4">
        <v>2</v>
      </c>
      <c r="B4" t="s">
        <v>144</v>
      </c>
      <c r="C4" s="2" t="s">
        <v>11</v>
      </c>
    </row>
    <row r="5" spans="1:10" x14ac:dyDescent="0.35">
      <c r="A5">
        <v>3</v>
      </c>
      <c r="B5" t="s">
        <v>144</v>
      </c>
      <c r="C5" s="2" t="s">
        <v>11</v>
      </c>
    </row>
    <row r="6" spans="1:10" x14ac:dyDescent="0.35">
      <c r="A6">
        <v>4</v>
      </c>
      <c r="B6" t="s">
        <v>144</v>
      </c>
      <c r="C6" s="2" t="s">
        <v>11</v>
      </c>
    </row>
    <row r="7" spans="1:10" x14ac:dyDescent="0.35">
      <c r="A7">
        <v>5</v>
      </c>
      <c r="B7" t="s">
        <v>144</v>
      </c>
      <c r="C7" s="2" t="s">
        <v>11</v>
      </c>
    </row>
    <row r="8" spans="1:10" x14ac:dyDescent="0.35">
      <c r="A8">
        <v>6</v>
      </c>
      <c r="B8" t="s">
        <v>144</v>
      </c>
      <c r="C8" s="2" t="s">
        <v>11</v>
      </c>
    </row>
    <row r="9" spans="1:10" x14ac:dyDescent="0.35">
      <c r="A9">
        <v>7</v>
      </c>
      <c r="B9" t="s">
        <v>144</v>
      </c>
      <c r="C9" s="2" t="s">
        <v>11</v>
      </c>
    </row>
    <row r="10" spans="1:10" x14ac:dyDescent="0.35">
      <c r="A10">
        <v>8</v>
      </c>
      <c r="B10" t="s">
        <v>144</v>
      </c>
      <c r="C10" s="2" t="s">
        <v>11</v>
      </c>
    </row>
    <row r="11" spans="1:10" x14ac:dyDescent="0.35">
      <c r="A11">
        <v>9</v>
      </c>
      <c r="B11" t="s">
        <v>144</v>
      </c>
      <c r="C11" s="2" t="s">
        <v>11</v>
      </c>
    </row>
    <row r="12" spans="1:10" x14ac:dyDescent="0.35">
      <c r="A12">
        <v>10</v>
      </c>
      <c r="B12" t="s">
        <v>144</v>
      </c>
      <c r="C12" s="2" t="s">
        <v>11</v>
      </c>
    </row>
    <row r="13" spans="1:10" x14ac:dyDescent="0.35">
      <c r="A13">
        <v>11</v>
      </c>
      <c r="B13" t="s">
        <v>144</v>
      </c>
      <c r="C13" s="2" t="s">
        <v>11</v>
      </c>
    </row>
    <row r="14" spans="1:10" x14ac:dyDescent="0.35">
      <c r="A14">
        <v>12</v>
      </c>
      <c r="B14" t="s">
        <v>144</v>
      </c>
      <c r="C14" s="2" t="s">
        <v>11</v>
      </c>
    </row>
    <row r="15" spans="1:10" x14ac:dyDescent="0.35">
      <c r="A15">
        <v>13</v>
      </c>
      <c r="B15" t="s">
        <v>144</v>
      </c>
      <c r="C15" s="2" t="s">
        <v>11</v>
      </c>
    </row>
    <row r="16" spans="1:10" x14ac:dyDescent="0.35">
      <c r="A16">
        <v>14</v>
      </c>
      <c r="B16" t="s">
        <v>144</v>
      </c>
      <c r="C16" s="2" t="s">
        <v>11</v>
      </c>
    </row>
    <row r="17" spans="1:3" x14ac:dyDescent="0.35">
      <c r="A17">
        <v>15</v>
      </c>
      <c r="B17" t="s">
        <v>144</v>
      </c>
      <c r="C17" s="2" t="s">
        <v>11</v>
      </c>
    </row>
    <row r="18" spans="1:3" x14ac:dyDescent="0.35">
      <c r="A18">
        <v>16</v>
      </c>
      <c r="B18" t="s">
        <v>144</v>
      </c>
      <c r="C18" s="2" t="s">
        <v>11</v>
      </c>
    </row>
    <row r="19" spans="1:3" x14ac:dyDescent="0.35">
      <c r="A19">
        <v>17</v>
      </c>
      <c r="B19" t="s">
        <v>144</v>
      </c>
      <c r="C19" s="2" t="s">
        <v>11</v>
      </c>
    </row>
    <row r="20" spans="1:3" x14ac:dyDescent="0.35">
      <c r="A20">
        <v>18</v>
      </c>
      <c r="B20" t="s">
        <v>144</v>
      </c>
      <c r="C20" s="2" t="s">
        <v>11</v>
      </c>
    </row>
    <row r="21" spans="1:3" x14ac:dyDescent="0.35">
      <c r="A21">
        <v>19</v>
      </c>
      <c r="B21" t="s">
        <v>144</v>
      </c>
      <c r="C21" s="2" t="s">
        <v>11</v>
      </c>
    </row>
    <row r="22" spans="1:3" x14ac:dyDescent="0.35">
      <c r="A22">
        <v>20</v>
      </c>
      <c r="B22" t="s">
        <v>144</v>
      </c>
      <c r="C22" s="2" t="s">
        <v>11</v>
      </c>
    </row>
    <row r="23" spans="1:3" x14ac:dyDescent="0.35">
      <c r="A23">
        <v>21</v>
      </c>
      <c r="B23" t="s">
        <v>144</v>
      </c>
      <c r="C23" s="2" t="s">
        <v>11</v>
      </c>
    </row>
    <row r="24" spans="1:3" x14ac:dyDescent="0.35">
      <c r="A24">
        <v>22</v>
      </c>
      <c r="B24" t="s">
        <v>144</v>
      </c>
      <c r="C24" s="2" t="s">
        <v>11</v>
      </c>
    </row>
    <row r="25" spans="1:3" x14ac:dyDescent="0.35">
      <c r="A25">
        <v>23</v>
      </c>
      <c r="B25" t="s">
        <v>144</v>
      </c>
      <c r="C25" s="2" t="s">
        <v>11</v>
      </c>
    </row>
    <row r="26" spans="1:3" x14ac:dyDescent="0.35">
      <c r="A26">
        <v>24</v>
      </c>
      <c r="B26" t="s">
        <v>144</v>
      </c>
      <c r="C26" s="2" t="s">
        <v>11</v>
      </c>
    </row>
    <row r="27" spans="1:3" x14ac:dyDescent="0.35">
      <c r="A27">
        <v>25</v>
      </c>
      <c r="B27" t="s">
        <v>144</v>
      </c>
      <c r="C27" s="2" t="s">
        <v>11</v>
      </c>
    </row>
    <row r="28" spans="1:3" x14ac:dyDescent="0.35">
      <c r="A28">
        <v>26</v>
      </c>
      <c r="B28" t="s">
        <v>144</v>
      </c>
      <c r="C28" s="2" t="s">
        <v>11</v>
      </c>
    </row>
    <row r="29" spans="1:3" x14ac:dyDescent="0.35">
      <c r="A29">
        <v>27</v>
      </c>
      <c r="B29" t="s">
        <v>144</v>
      </c>
      <c r="C29" s="2" t="s">
        <v>11</v>
      </c>
    </row>
    <row r="30" spans="1:3" x14ac:dyDescent="0.35">
      <c r="A30">
        <v>28</v>
      </c>
      <c r="B30" t="s">
        <v>144</v>
      </c>
      <c r="C30" s="2" t="s">
        <v>11</v>
      </c>
    </row>
    <row r="31" spans="1:3" x14ac:dyDescent="0.35">
      <c r="A31">
        <v>29</v>
      </c>
      <c r="B31" t="s">
        <v>144</v>
      </c>
      <c r="C31" s="2" t="s">
        <v>11</v>
      </c>
    </row>
    <row r="32" spans="1:3" x14ac:dyDescent="0.35">
      <c r="A32">
        <v>30</v>
      </c>
      <c r="B32" t="s">
        <v>144</v>
      </c>
      <c r="C32" s="2" t="s">
        <v>11</v>
      </c>
    </row>
    <row r="33" spans="1:10" x14ac:dyDescent="0.35">
      <c r="A33">
        <v>31</v>
      </c>
      <c r="B33" t="s">
        <v>144</v>
      </c>
      <c r="C33" s="2" t="s">
        <v>11</v>
      </c>
    </row>
    <row r="36" spans="1:10" x14ac:dyDescent="0.35">
      <c r="C36" s="5" t="s">
        <v>7</v>
      </c>
      <c r="D36" s="6">
        <f>COUNTIF(E3:E33,1)</f>
        <v>0</v>
      </c>
    </row>
    <row r="37" spans="1:10" x14ac:dyDescent="0.35">
      <c r="C37" s="5" t="s">
        <v>8</v>
      </c>
      <c r="D37" s="6">
        <f>COUNTIF(E3:E33,1) + COUNTIF(G3:G33,1)</f>
        <v>0</v>
      </c>
    </row>
    <row r="38" spans="1:10" x14ac:dyDescent="0.35">
      <c r="C38" s="5" t="s">
        <v>10</v>
      </c>
      <c r="D38" s="6">
        <f>COUNTIF(F3:F33,1) + COUNTIF(H3:H33,1) + COUNTIF(I3:I33,1) + COUNTIF(J3:J33,1)</f>
        <v>0</v>
      </c>
    </row>
    <row r="39" spans="1:10" x14ac:dyDescent="0.35">
      <c r="C39" s="5" t="s">
        <v>9</v>
      </c>
      <c r="D39" s="6">
        <f>COUNTIF(F3:F33,1) + COUNTIF(H3:H33,1)</f>
        <v>0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144</v>
      </c>
      <c r="C43" s="4" t="s">
        <v>28</v>
      </c>
    </row>
    <row r="44" spans="1:10" x14ac:dyDescent="0.35">
      <c r="A44">
        <v>2</v>
      </c>
      <c r="B44" t="s">
        <v>144</v>
      </c>
      <c r="C44" s="4" t="s">
        <v>28</v>
      </c>
    </row>
    <row r="45" spans="1:10" x14ac:dyDescent="0.35">
      <c r="A45">
        <v>3</v>
      </c>
      <c r="B45" t="s">
        <v>144</v>
      </c>
      <c r="C45" s="4" t="s">
        <v>28</v>
      </c>
    </row>
    <row r="46" spans="1:10" x14ac:dyDescent="0.35">
      <c r="A46">
        <v>4</v>
      </c>
      <c r="B46" t="s">
        <v>144</v>
      </c>
      <c r="C46" s="4" t="s">
        <v>28</v>
      </c>
    </row>
    <row r="47" spans="1:10" x14ac:dyDescent="0.35">
      <c r="A47">
        <v>5</v>
      </c>
      <c r="B47" t="s">
        <v>144</v>
      </c>
      <c r="C47" s="4" t="s">
        <v>28</v>
      </c>
    </row>
    <row r="48" spans="1:10" x14ac:dyDescent="0.35">
      <c r="A48">
        <v>6</v>
      </c>
      <c r="B48" t="s">
        <v>144</v>
      </c>
      <c r="C48" s="4" t="s">
        <v>28</v>
      </c>
    </row>
    <row r="49" spans="1:3" x14ac:dyDescent="0.35">
      <c r="A49">
        <v>7</v>
      </c>
      <c r="B49" t="s">
        <v>144</v>
      </c>
      <c r="C49" s="4" t="s">
        <v>28</v>
      </c>
    </row>
    <row r="50" spans="1:3" x14ac:dyDescent="0.35">
      <c r="A50">
        <v>8</v>
      </c>
      <c r="B50" t="s">
        <v>144</v>
      </c>
      <c r="C50" s="4" t="s">
        <v>28</v>
      </c>
    </row>
    <row r="51" spans="1:3" x14ac:dyDescent="0.35">
      <c r="A51">
        <v>9</v>
      </c>
      <c r="B51" t="s">
        <v>144</v>
      </c>
      <c r="C51" s="4" t="s">
        <v>28</v>
      </c>
    </row>
    <row r="52" spans="1:3" x14ac:dyDescent="0.35">
      <c r="A52">
        <v>10</v>
      </c>
      <c r="B52" t="s">
        <v>144</v>
      </c>
      <c r="C52" s="4" t="s">
        <v>28</v>
      </c>
    </row>
    <row r="53" spans="1:3" x14ac:dyDescent="0.35">
      <c r="A53">
        <v>11</v>
      </c>
      <c r="B53" t="s">
        <v>144</v>
      </c>
      <c r="C53" s="4" t="s">
        <v>28</v>
      </c>
    </row>
    <row r="54" spans="1:3" x14ac:dyDescent="0.35">
      <c r="A54">
        <v>12</v>
      </c>
      <c r="B54" t="s">
        <v>144</v>
      </c>
      <c r="C54" s="4" t="s">
        <v>28</v>
      </c>
    </row>
    <row r="55" spans="1:3" x14ac:dyDescent="0.35">
      <c r="A55">
        <v>13</v>
      </c>
      <c r="B55" t="s">
        <v>144</v>
      </c>
      <c r="C55" s="4" t="s">
        <v>28</v>
      </c>
    </row>
    <row r="56" spans="1:3" x14ac:dyDescent="0.35">
      <c r="A56">
        <v>14</v>
      </c>
      <c r="B56" t="s">
        <v>144</v>
      </c>
      <c r="C56" s="4" t="s">
        <v>28</v>
      </c>
    </row>
    <row r="57" spans="1:3" x14ac:dyDescent="0.35">
      <c r="A57">
        <v>15</v>
      </c>
      <c r="B57" t="s">
        <v>144</v>
      </c>
      <c r="C57" s="4" t="s">
        <v>28</v>
      </c>
    </row>
    <row r="58" spans="1:3" x14ac:dyDescent="0.35">
      <c r="A58">
        <v>16</v>
      </c>
      <c r="B58" t="s">
        <v>144</v>
      </c>
      <c r="C58" s="4" t="s">
        <v>28</v>
      </c>
    </row>
    <row r="59" spans="1:3" x14ac:dyDescent="0.35">
      <c r="A59">
        <v>17</v>
      </c>
      <c r="B59" t="s">
        <v>144</v>
      </c>
      <c r="C59" s="4" t="s">
        <v>28</v>
      </c>
    </row>
    <row r="60" spans="1:3" x14ac:dyDescent="0.35">
      <c r="A60">
        <v>18</v>
      </c>
      <c r="B60" t="s">
        <v>144</v>
      </c>
      <c r="C60" s="4" t="s">
        <v>28</v>
      </c>
    </row>
    <row r="61" spans="1:3" x14ac:dyDescent="0.35">
      <c r="A61">
        <v>19</v>
      </c>
      <c r="B61" t="s">
        <v>144</v>
      </c>
      <c r="C61" s="4" t="s">
        <v>28</v>
      </c>
    </row>
    <row r="62" spans="1:3" x14ac:dyDescent="0.35">
      <c r="A62">
        <v>20</v>
      </c>
      <c r="B62" t="s">
        <v>144</v>
      </c>
      <c r="C62" s="4" t="s">
        <v>28</v>
      </c>
    </row>
    <row r="63" spans="1:3" x14ac:dyDescent="0.35">
      <c r="A63">
        <v>21</v>
      </c>
      <c r="B63" t="s">
        <v>144</v>
      </c>
      <c r="C63" s="4" t="s">
        <v>28</v>
      </c>
    </row>
    <row r="64" spans="1:3" x14ac:dyDescent="0.35">
      <c r="A64">
        <v>22</v>
      </c>
      <c r="B64" t="s">
        <v>144</v>
      </c>
      <c r="C64" s="4" t="s">
        <v>28</v>
      </c>
    </row>
    <row r="65" spans="1:4" x14ac:dyDescent="0.35">
      <c r="A65">
        <v>23</v>
      </c>
      <c r="B65" t="s">
        <v>144</v>
      </c>
      <c r="C65" s="4" t="s">
        <v>28</v>
      </c>
    </row>
    <row r="66" spans="1:4" x14ac:dyDescent="0.35">
      <c r="A66">
        <v>24</v>
      </c>
      <c r="B66" t="s">
        <v>144</v>
      </c>
      <c r="C66" s="4" t="s">
        <v>28</v>
      </c>
    </row>
    <row r="67" spans="1:4" x14ac:dyDescent="0.35">
      <c r="A67">
        <v>25</v>
      </c>
      <c r="B67" t="s">
        <v>144</v>
      </c>
      <c r="C67" s="4" t="s">
        <v>28</v>
      </c>
    </row>
    <row r="68" spans="1:4" x14ac:dyDescent="0.35">
      <c r="A68">
        <v>26</v>
      </c>
      <c r="B68" t="s">
        <v>144</v>
      </c>
      <c r="C68" s="4" t="s">
        <v>28</v>
      </c>
    </row>
    <row r="69" spans="1:4" x14ac:dyDescent="0.35">
      <c r="A69">
        <v>27</v>
      </c>
      <c r="B69" t="s">
        <v>144</v>
      </c>
      <c r="C69" s="4" t="s">
        <v>28</v>
      </c>
    </row>
    <row r="70" spans="1:4" x14ac:dyDescent="0.35">
      <c r="A70">
        <v>28</v>
      </c>
      <c r="B70" t="s">
        <v>144</v>
      </c>
      <c r="C70" s="4" t="s">
        <v>28</v>
      </c>
    </row>
    <row r="71" spans="1:4" x14ac:dyDescent="0.35">
      <c r="A71">
        <v>29</v>
      </c>
      <c r="B71" t="s">
        <v>144</v>
      </c>
      <c r="C71" s="4" t="s">
        <v>28</v>
      </c>
    </row>
    <row r="72" spans="1:4" x14ac:dyDescent="0.35">
      <c r="A72">
        <v>30</v>
      </c>
      <c r="B72" t="s">
        <v>144</v>
      </c>
      <c r="C72" s="4" t="s">
        <v>28</v>
      </c>
    </row>
    <row r="76" spans="1:4" x14ac:dyDescent="0.35">
      <c r="C76" s="5" t="s">
        <v>7</v>
      </c>
      <c r="D76" s="6">
        <f>COUNTIF(E43:E72,1)</f>
        <v>0</v>
      </c>
    </row>
    <row r="77" spans="1:4" x14ac:dyDescent="0.35">
      <c r="C77" s="5" t="s">
        <v>8</v>
      </c>
      <c r="D77" s="6">
        <f>COUNTIF(E43:E72,1) + COUNTIF(G43:G72,1)</f>
        <v>0</v>
      </c>
    </row>
    <row r="78" spans="1:4" x14ac:dyDescent="0.35">
      <c r="C78" s="5" t="s">
        <v>10</v>
      </c>
      <c r="D78" s="6">
        <f>COUNTIF(F43:F72,1) + COUNTIF(H43:H72,1) + COUNTIF(I43:I72,1) + COUNTIF(J43:J72,1)</f>
        <v>0</v>
      </c>
    </row>
    <row r="79" spans="1:4" x14ac:dyDescent="0.35">
      <c r="C79" s="5" t="s">
        <v>9</v>
      </c>
      <c r="D79" s="6">
        <f>COUNTIF(F43:F72,1) + COUNTIF(H43:H72,1)</f>
        <v>0</v>
      </c>
    </row>
    <row r="80" spans="1:4" x14ac:dyDescent="0.35">
      <c r="C80" s="5" t="s">
        <v>209</v>
      </c>
      <c r="D80" s="6">
        <f>COUNTIF(F43:F72,1) + COUNTIF(E43:E72,1) + COUNTIF(G43:G72,1) + COUNTIF(H43:H72,1) + COUNTIF(I43:I72,1) + COUNTIF(J43:J72,1)</f>
        <v>0</v>
      </c>
    </row>
  </sheetData>
  <phoneticPr fontId="1" type="noConversion"/>
  <conditionalFormatting sqref="E3:E33">
    <cfRule type="cellIs" dxfId="95" priority="7" operator="between">
      <formula>1</formula>
      <formula>1</formula>
    </cfRule>
  </conditionalFormatting>
  <conditionalFormatting sqref="E43:E73">
    <cfRule type="cellIs" dxfId="94" priority="4" operator="between">
      <formula>1</formula>
      <formula>1</formula>
    </cfRule>
  </conditionalFormatting>
  <conditionalFormatting sqref="F3:F33">
    <cfRule type="cellIs" dxfId="93" priority="5" operator="between">
      <formula>1</formula>
      <formula>1</formula>
    </cfRule>
  </conditionalFormatting>
  <conditionalFormatting sqref="F43:F73">
    <cfRule type="cellIs" dxfId="92" priority="3" operator="between">
      <formula>1</formula>
      <formula>1</formula>
    </cfRule>
  </conditionalFormatting>
  <conditionalFormatting sqref="G3:G33">
    <cfRule type="cellIs" dxfId="91" priority="8" operator="between">
      <formula>1</formula>
      <formula>2</formula>
    </cfRule>
  </conditionalFormatting>
  <conditionalFormatting sqref="G43:G73">
    <cfRule type="cellIs" dxfId="90" priority="2" operator="between">
      <formula>1</formula>
      <formula>1</formula>
    </cfRule>
  </conditionalFormatting>
  <conditionalFormatting sqref="H3:J33">
    <cfRule type="cellIs" dxfId="89" priority="6" operator="between">
      <formula>1</formula>
      <formula>1</formula>
    </cfRule>
  </conditionalFormatting>
  <conditionalFormatting sqref="H43:J73">
    <cfRule type="cellIs" dxfId="88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AE2A-9941-4157-AB8F-8227477602C2}">
  <dimension ref="A2:J80"/>
  <sheetViews>
    <sheetView topLeftCell="A46" zoomScale="90" zoomScaleNormal="90" workbookViewId="0">
      <selection activeCell="C76" sqref="C76:D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12.4531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145</v>
      </c>
      <c r="C3" s="2" t="s">
        <v>11</v>
      </c>
    </row>
    <row r="4" spans="1:10" x14ac:dyDescent="0.35">
      <c r="A4">
        <v>2</v>
      </c>
      <c r="B4" t="s">
        <v>145</v>
      </c>
      <c r="C4" s="2" t="s">
        <v>11</v>
      </c>
    </row>
    <row r="5" spans="1:10" x14ac:dyDescent="0.35">
      <c r="A5">
        <v>3</v>
      </c>
      <c r="B5" t="s">
        <v>145</v>
      </c>
      <c r="C5" s="2" t="s">
        <v>11</v>
      </c>
    </row>
    <row r="6" spans="1:10" x14ac:dyDescent="0.35">
      <c r="A6">
        <v>4</v>
      </c>
      <c r="B6" t="s">
        <v>145</v>
      </c>
      <c r="C6" s="2" t="s">
        <v>11</v>
      </c>
    </row>
    <row r="7" spans="1:10" x14ac:dyDescent="0.35">
      <c r="A7">
        <v>5</v>
      </c>
      <c r="B7" t="s">
        <v>145</v>
      </c>
      <c r="C7" s="2" t="s">
        <v>11</v>
      </c>
    </row>
    <row r="8" spans="1:10" x14ac:dyDescent="0.35">
      <c r="A8">
        <v>6</v>
      </c>
      <c r="B8" t="s">
        <v>145</v>
      </c>
      <c r="C8" s="2" t="s">
        <v>11</v>
      </c>
    </row>
    <row r="9" spans="1:10" x14ac:dyDescent="0.35">
      <c r="A9">
        <v>7</v>
      </c>
      <c r="B9" t="s">
        <v>145</v>
      </c>
      <c r="C9" s="2" t="s">
        <v>11</v>
      </c>
    </row>
    <row r="10" spans="1:10" x14ac:dyDescent="0.35">
      <c r="A10">
        <v>8</v>
      </c>
      <c r="B10" t="s">
        <v>145</v>
      </c>
      <c r="C10" s="2" t="s">
        <v>11</v>
      </c>
    </row>
    <row r="11" spans="1:10" x14ac:dyDescent="0.35">
      <c r="A11">
        <v>9</v>
      </c>
      <c r="B11" t="s">
        <v>145</v>
      </c>
      <c r="C11" s="2" t="s">
        <v>11</v>
      </c>
    </row>
    <row r="12" spans="1:10" x14ac:dyDescent="0.35">
      <c r="A12">
        <v>10</v>
      </c>
      <c r="B12" t="s">
        <v>145</v>
      </c>
      <c r="C12" s="2" t="s">
        <v>11</v>
      </c>
    </row>
    <row r="13" spans="1:10" x14ac:dyDescent="0.35">
      <c r="A13">
        <v>11</v>
      </c>
      <c r="B13" t="s">
        <v>145</v>
      </c>
      <c r="C13" s="2" t="s">
        <v>11</v>
      </c>
    </row>
    <row r="14" spans="1:10" x14ac:dyDescent="0.35">
      <c r="A14">
        <v>12</v>
      </c>
      <c r="B14" t="s">
        <v>145</v>
      </c>
      <c r="C14" s="2" t="s">
        <v>11</v>
      </c>
    </row>
    <row r="15" spans="1:10" x14ac:dyDescent="0.35">
      <c r="A15">
        <v>13</v>
      </c>
      <c r="B15" t="s">
        <v>145</v>
      </c>
      <c r="C15" s="2" t="s">
        <v>11</v>
      </c>
    </row>
    <row r="16" spans="1:10" x14ac:dyDescent="0.35">
      <c r="A16">
        <v>14</v>
      </c>
      <c r="B16" t="s">
        <v>145</v>
      </c>
      <c r="C16" s="2" t="s">
        <v>11</v>
      </c>
    </row>
    <row r="17" spans="1:3" x14ac:dyDescent="0.35">
      <c r="A17">
        <v>15</v>
      </c>
      <c r="B17" t="s">
        <v>145</v>
      </c>
      <c r="C17" s="2" t="s">
        <v>11</v>
      </c>
    </row>
    <row r="18" spans="1:3" x14ac:dyDescent="0.35">
      <c r="A18">
        <v>16</v>
      </c>
      <c r="B18" t="s">
        <v>145</v>
      </c>
      <c r="C18" s="2" t="s">
        <v>11</v>
      </c>
    </row>
    <row r="19" spans="1:3" x14ac:dyDescent="0.35">
      <c r="A19">
        <v>17</v>
      </c>
      <c r="B19" t="s">
        <v>145</v>
      </c>
      <c r="C19" s="2" t="s">
        <v>11</v>
      </c>
    </row>
    <row r="20" spans="1:3" x14ac:dyDescent="0.35">
      <c r="A20">
        <v>18</v>
      </c>
      <c r="B20" t="s">
        <v>145</v>
      </c>
      <c r="C20" s="2" t="s">
        <v>11</v>
      </c>
    </row>
    <row r="21" spans="1:3" x14ac:dyDescent="0.35">
      <c r="A21">
        <v>19</v>
      </c>
      <c r="B21" t="s">
        <v>145</v>
      </c>
      <c r="C21" s="2" t="s">
        <v>11</v>
      </c>
    </row>
    <row r="22" spans="1:3" x14ac:dyDescent="0.35">
      <c r="A22">
        <v>20</v>
      </c>
      <c r="B22" t="s">
        <v>145</v>
      </c>
      <c r="C22" s="2" t="s">
        <v>11</v>
      </c>
    </row>
    <row r="23" spans="1:3" x14ac:dyDescent="0.35">
      <c r="A23">
        <v>21</v>
      </c>
      <c r="B23" t="s">
        <v>145</v>
      </c>
      <c r="C23" s="2" t="s">
        <v>11</v>
      </c>
    </row>
    <row r="24" spans="1:3" x14ac:dyDescent="0.35">
      <c r="A24">
        <v>22</v>
      </c>
      <c r="B24" t="s">
        <v>145</v>
      </c>
      <c r="C24" s="2" t="s">
        <v>11</v>
      </c>
    </row>
    <row r="25" spans="1:3" x14ac:dyDescent="0.35">
      <c r="A25">
        <v>23</v>
      </c>
      <c r="B25" t="s">
        <v>145</v>
      </c>
      <c r="C25" s="2" t="s">
        <v>11</v>
      </c>
    </row>
    <row r="26" spans="1:3" x14ac:dyDescent="0.35">
      <c r="A26">
        <v>24</v>
      </c>
      <c r="B26" t="s">
        <v>145</v>
      </c>
      <c r="C26" s="2" t="s">
        <v>11</v>
      </c>
    </row>
    <row r="27" spans="1:3" x14ac:dyDescent="0.35">
      <c r="A27">
        <v>25</v>
      </c>
      <c r="B27" t="s">
        <v>145</v>
      </c>
      <c r="C27" s="2" t="s">
        <v>11</v>
      </c>
    </row>
    <row r="28" spans="1:3" x14ac:dyDescent="0.35">
      <c r="A28">
        <v>26</v>
      </c>
      <c r="B28" t="s">
        <v>145</v>
      </c>
      <c r="C28" s="2" t="s">
        <v>11</v>
      </c>
    </row>
    <row r="29" spans="1:3" x14ac:dyDescent="0.35">
      <c r="A29">
        <v>27</v>
      </c>
      <c r="B29" t="s">
        <v>145</v>
      </c>
      <c r="C29" s="2" t="s">
        <v>11</v>
      </c>
    </row>
    <row r="30" spans="1:3" x14ac:dyDescent="0.35">
      <c r="A30">
        <v>28</v>
      </c>
      <c r="B30" t="s">
        <v>145</v>
      </c>
      <c r="C30" s="2" t="s">
        <v>11</v>
      </c>
    </row>
    <row r="31" spans="1:3" x14ac:dyDescent="0.35">
      <c r="A31">
        <v>29</v>
      </c>
      <c r="B31" t="s">
        <v>145</v>
      </c>
      <c r="C31" s="2" t="s">
        <v>11</v>
      </c>
    </row>
    <row r="32" spans="1:3" x14ac:dyDescent="0.35">
      <c r="A32">
        <v>30</v>
      </c>
      <c r="B32" t="s">
        <v>145</v>
      </c>
      <c r="C32" s="2" t="s">
        <v>11</v>
      </c>
    </row>
    <row r="33" spans="1:10" x14ac:dyDescent="0.35">
      <c r="A33">
        <v>31</v>
      </c>
      <c r="B33" t="s">
        <v>145</v>
      </c>
      <c r="C33" s="2" t="s">
        <v>11</v>
      </c>
    </row>
    <row r="36" spans="1:10" x14ac:dyDescent="0.35">
      <c r="C36" s="5" t="s">
        <v>7</v>
      </c>
      <c r="D36" s="6">
        <f>COUNTIF(E3:E33,1)</f>
        <v>0</v>
      </c>
    </row>
    <row r="37" spans="1:10" x14ac:dyDescent="0.35">
      <c r="C37" s="5" t="s">
        <v>8</v>
      </c>
      <c r="D37" s="6">
        <f>COUNTIF(E3:E33,1) + COUNTIF(G3:G33,1)</f>
        <v>0</v>
      </c>
    </row>
    <row r="38" spans="1:10" x14ac:dyDescent="0.35">
      <c r="C38" s="5" t="s">
        <v>10</v>
      </c>
      <c r="D38" s="6">
        <f>COUNTIF(F3:F33,1) + COUNTIF(H3:H33,1) + COUNTIF(I3:I33,1) + COUNTIF(J3:J33,1)</f>
        <v>0</v>
      </c>
    </row>
    <row r="39" spans="1:10" x14ac:dyDescent="0.35">
      <c r="C39" s="5" t="s">
        <v>9</v>
      </c>
      <c r="D39" s="6">
        <f>COUNTIF(F3:F33,1) + COUNTIF(H3:H33,1)</f>
        <v>0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145</v>
      </c>
      <c r="C43" s="4" t="s">
        <v>28</v>
      </c>
    </row>
    <row r="44" spans="1:10" x14ac:dyDescent="0.35">
      <c r="A44">
        <v>2</v>
      </c>
      <c r="B44" t="s">
        <v>145</v>
      </c>
      <c r="C44" s="4" t="s">
        <v>28</v>
      </c>
    </row>
    <row r="45" spans="1:10" x14ac:dyDescent="0.35">
      <c r="A45">
        <v>3</v>
      </c>
      <c r="B45" t="s">
        <v>145</v>
      </c>
      <c r="C45" s="4" t="s">
        <v>28</v>
      </c>
    </row>
    <row r="46" spans="1:10" x14ac:dyDescent="0.35">
      <c r="A46">
        <v>4</v>
      </c>
      <c r="B46" t="s">
        <v>145</v>
      </c>
      <c r="C46" s="4" t="s">
        <v>28</v>
      </c>
    </row>
    <row r="47" spans="1:10" x14ac:dyDescent="0.35">
      <c r="A47">
        <v>5</v>
      </c>
      <c r="B47" t="s">
        <v>145</v>
      </c>
      <c r="C47" s="4" t="s">
        <v>28</v>
      </c>
    </row>
    <row r="48" spans="1:10" x14ac:dyDescent="0.35">
      <c r="A48">
        <v>6</v>
      </c>
      <c r="B48" t="s">
        <v>145</v>
      </c>
      <c r="C48" s="4" t="s">
        <v>28</v>
      </c>
    </row>
    <row r="49" spans="1:3" x14ac:dyDescent="0.35">
      <c r="A49">
        <v>7</v>
      </c>
      <c r="B49" t="s">
        <v>145</v>
      </c>
      <c r="C49" s="4" t="s">
        <v>28</v>
      </c>
    </row>
    <row r="50" spans="1:3" x14ac:dyDescent="0.35">
      <c r="A50">
        <v>8</v>
      </c>
      <c r="B50" t="s">
        <v>145</v>
      </c>
      <c r="C50" s="4" t="s">
        <v>28</v>
      </c>
    </row>
    <row r="51" spans="1:3" x14ac:dyDescent="0.35">
      <c r="A51">
        <v>9</v>
      </c>
      <c r="B51" t="s">
        <v>145</v>
      </c>
      <c r="C51" s="4" t="s">
        <v>28</v>
      </c>
    </row>
    <row r="52" spans="1:3" x14ac:dyDescent="0.35">
      <c r="A52">
        <v>10</v>
      </c>
      <c r="B52" t="s">
        <v>145</v>
      </c>
      <c r="C52" s="4" t="s">
        <v>28</v>
      </c>
    </row>
    <row r="53" spans="1:3" x14ac:dyDescent="0.35">
      <c r="A53">
        <v>11</v>
      </c>
      <c r="B53" t="s">
        <v>145</v>
      </c>
      <c r="C53" s="4" t="s">
        <v>28</v>
      </c>
    </row>
    <row r="54" spans="1:3" x14ac:dyDescent="0.35">
      <c r="A54">
        <v>12</v>
      </c>
      <c r="B54" t="s">
        <v>145</v>
      </c>
      <c r="C54" s="4" t="s">
        <v>28</v>
      </c>
    </row>
    <row r="55" spans="1:3" x14ac:dyDescent="0.35">
      <c r="A55">
        <v>13</v>
      </c>
      <c r="B55" t="s">
        <v>145</v>
      </c>
      <c r="C55" s="4" t="s">
        <v>28</v>
      </c>
    </row>
    <row r="56" spans="1:3" x14ac:dyDescent="0.35">
      <c r="A56">
        <v>14</v>
      </c>
      <c r="B56" t="s">
        <v>145</v>
      </c>
      <c r="C56" s="4" t="s">
        <v>28</v>
      </c>
    </row>
    <row r="57" spans="1:3" x14ac:dyDescent="0.35">
      <c r="A57">
        <v>15</v>
      </c>
      <c r="B57" t="s">
        <v>145</v>
      </c>
      <c r="C57" s="4" t="s">
        <v>28</v>
      </c>
    </row>
    <row r="58" spans="1:3" x14ac:dyDescent="0.35">
      <c r="A58">
        <v>16</v>
      </c>
      <c r="B58" t="s">
        <v>145</v>
      </c>
      <c r="C58" s="4" t="s">
        <v>28</v>
      </c>
    </row>
    <row r="59" spans="1:3" x14ac:dyDescent="0.35">
      <c r="A59">
        <v>17</v>
      </c>
      <c r="B59" t="s">
        <v>145</v>
      </c>
      <c r="C59" s="4" t="s">
        <v>28</v>
      </c>
    </row>
    <row r="60" spans="1:3" x14ac:dyDescent="0.35">
      <c r="A60">
        <v>18</v>
      </c>
      <c r="B60" t="s">
        <v>145</v>
      </c>
      <c r="C60" s="4" t="s">
        <v>28</v>
      </c>
    </row>
    <row r="61" spans="1:3" x14ac:dyDescent="0.35">
      <c r="A61">
        <v>19</v>
      </c>
      <c r="B61" t="s">
        <v>145</v>
      </c>
      <c r="C61" s="4" t="s">
        <v>28</v>
      </c>
    </row>
    <row r="62" spans="1:3" x14ac:dyDescent="0.35">
      <c r="A62">
        <v>20</v>
      </c>
      <c r="B62" t="s">
        <v>145</v>
      </c>
      <c r="C62" s="4" t="s">
        <v>28</v>
      </c>
    </row>
    <row r="63" spans="1:3" x14ac:dyDescent="0.35">
      <c r="A63">
        <v>21</v>
      </c>
      <c r="B63" t="s">
        <v>145</v>
      </c>
      <c r="C63" s="4" t="s">
        <v>28</v>
      </c>
    </row>
    <row r="64" spans="1:3" x14ac:dyDescent="0.35">
      <c r="A64">
        <v>22</v>
      </c>
      <c r="B64" t="s">
        <v>145</v>
      </c>
      <c r="C64" s="4" t="s">
        <v>28</v>
      </c>
    </row>
    <row r="65" spans="1:4" x14ac:dyDescent="0.35">
      <c r="A65">
        <v>23</v>
      </c>
      <c r="B65" t="s">
        <v>145</v>
      </c>
      <c r="C65" s="4" t="s">
        <v>28</v>
      </c>
    </row>
    <row r="66" spans="1:4" x14ac:dyDescent="0.35">
      <c r="A66">
        <v>24</v>
      </c>
      <c r="B66" t="s">
        <v>145</v>
      </c>
      <c r="C66" s="4" t="s">
        <v>28</v>
      </c>
    </row>
    <row r="67" spans="1:4" x14ac:dyDescent="0.35">
      <c r="A67">
        <v>25</v>
      </c>
      <c r="B67" t="s">
        <v>145</v>
      </c>
      <c r="C67" s="4" t="s">
        <v>28</v>
      </c>
    </row>
    <row r="68" spans="1:4" x14ac:dyDescent="0.35">
      <c r="A68">
        <v>26</v>
      </c>
      <c r="B68" t="s">
        <v>145</v>
      </c>
      <c r="C68" s="4" t="s">
        <v>28</v>
      </c>
    </row>
    <row r="69" spans="1:4" x14ac:dyDescent="0.35">
      <c r="A69">
        <v>27</v>
      </c>
      <c r="B69" t="s">
        <v>145</v>
      </c>
      <c r="C69" s="4" t="s">
        <v>28</v>
      </c>
    </row>
    <row r="70" spans="1:4" x14ac:dyDescent="0.35">
      <c r="A70">
        <v>28</v>
      </c>
      <c r="B70" t="s">
        <v>145</v>
      </c>
      <c r="C70" s="4" t="s">
        <v>28</v>
      </c>
    </row>
    <row r="71" spans="1:4" x14ac:dyDescent="0.35">
      <c r="A71">
        <v>29</v>
      </c>
      <c r="B71" t="s">
        <v>145</v>
      </c>
      <c r="C71" s="4" t="s">
        <v>28</v>
      </c>
    </row>
    <row r="72" spans="1:4" x14ac:dyDescent="0.35">
      <c r="A72">
        <v>30</v>
      </c>
      <c r="B72" t="s">
        <v>145</v>
      </c>
      <c r="C72" s="4" t="s">
        <v>28</v>
      </c>
    </row>
    <row r="76" spans="1:4" x14ac:dyDescent="0.35">
      <c r="C76" s="5" t="s">
        <v>7</v>
      </c>
      <c r="D76" s="6">
        <f>COUNTIF(E43:E72,1)</f>
        <v>0</v>
      </c>
    </row>
    <row r="77" spans="1:4" x14ac:dyDescent="0.35">
      <c r="C77" s="5" t="s">
        <v>8</v>
      </c>
      <c r="D77" s="6">
        <f>COUNTIF(E43:E72,1) + COUNTIF(G43:G72,1)</f>
        <v>0</v>
      </c>
    </row>
    <row r="78" spans="1:4" x14ac:dyDescent="0.35">
      <c r="C78" s="5" t="s">
        <v>10</v>
      </c>
      <c r="D78" s="6">
        <f>COUNTIF(F43:F72,1) + COUNTIF(H43:H72,1) + COUNTIF(I43:I72,1) + COUNTIF(J43:J72,1)</f>
        <v>0</v>
      </c>
    </row>
    <row r="79" spans="1:4" x14ac:dyDescent="0.35">
      <c r="C79" s="5" t="s">
        <v>9</v>
      </c>
      <c r="D79" s="6">
        <f>COUNTIF(F43:F72,1) + COUNTIF(H43:H72,1)</f>
        <v>0</v>
      </c>
    </row>
    <row r="80" spans="1:4" x14ac:dyDescent="0.35">
      <c r="C80" s="5" t="s">
        <v>209</v>
      </c>
      <c r="D80" s="6">
        <f>COUNTIF(F43:F72,1) + COUNTIF(E43:E72,1) + COUNTIF(G43:G72,1) + COUNTIF(H43:H72,1) + COUNTIF(I43:I72,1) + COUNTIF(J43:J72,1)</f>
        <v>0</v>
      </c>
    </row>
  </sheetData>
  <phoneticPr fontId="1" type="noConversion"/>
  <conditionalFormatting sqref="E3:E33">
    <cfRule type="cellIs" dxfId="87" priority="7" operator="between">
      <formula>1</formula>
      <formula>1</formula>
    </cfRule>
  </conditionalFormatting>
  <conditionalFormatting sqref="E43:E73">
    <cfRule type="cellIs" dxfId="86" priority="4" operator="between">
      <formula>1</formula>
      <formula>1</formula>
    </cfRule>
  </conditionalFormatting>
  <conditionalFormatting sqref="F3:F33">
    <cfRule type="cellIs" dxfId="85" priority="5" operator="between">
      <formula>1</formula>
      <formula>1</formula>
    </cfRule>
  </conditionalFormatting>
  <conditionalFormatting sqref="F43:F73">
    <cfRule type="cellIs" dxfId="84" priority="3" operator="between">
      <formula>1</formula>
      <formula>1</formula>
    </cfRule>
  </conditionalFormatting>
  <conditionalFormatting sqref="G3:G33">
    <cfRule type="cellIs" dxfId="83" priority="8" operator="between">
      <formula>1</formula>
      <formula>2</formula>
    </cfRule>
  </conditionalFormatting>
  <conditionalFormatting sqref="G43:G73">
    <cfRule type="cellIs" dxfId="82" priority="2" operator="between">
      <formula>1</formula>
      <formula>1</formula>
    </cfRule>
  </conditionalFormatting>
  <conditionalFormatting sqref="H3:J33">
    <cfRule type="cellIs" dxfId="81" priority="6" operator="between">
      <formula>1</formula>
      <formula>1</formula>
    </cfRule>
  </conditionalFormatting>
  <conditionalFormatting sqref="H43:J73">
    <cfRule type="cellIs" dxfId="80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EB46-EF19-44E1-9983-19C691725240}">
  <dimension ref="A2:J80"/>
  <sheetViews>
    <sheetView topLeftCell="A64" zoomScale="90" zoomScaleNormal="90" workbookViewId="0">
      <selection activeCell="E76" sqref="E76: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146</v>
      </c>
      <c r="C3" s="2" t="s">
        <v>11</v>
      </c>
      <c r="D3" t="s">
        <v>210</v>
      </c>
      <c r="F3">
        <v>1</v>
      </c>
    </row>
    <row r="4" spans="1:10" x14ac:dyDescent="0.35">
      <c r="A4">
        <v>2</v>
      </c>
      <c r="B4" t="s">
        <v>146</v>
      </c>
      <c r="C4" s="2" t="s">
        <v>11</v>
      </c>
      <c r="D4" t="s">
        <v>211</v>
      </c>
      <c r="F4">
        <v>1</v>
      </c>
    </row>
    <row r="5" spans="1:10" x14ac:dyDescent="0.35">
      <c r="A5">
        <v>3</v>
      </c>
      <c r="B5" t="s">
        <v>146</v>
      </c>
      <c r="C5" s="2" t="s">
        <v>11</v>
      </c>
      <c r="D5" t="s">
        <v>212</v>
      </c>
      <c r="G5">
        <v>1</v>
      </c>
    </row>
    <row r="6" spans="1:10" x14ac:dyDescent="0.35">
      <c r="A6">
        <v>4</v>
      </c>
      <c r="B6" t="s">
        <v>146</v>
      </c>
      <c r="C6" s="2" t="s">
        <v>11</v>
      </c>
      <c r="D6" t="s">
        <v>213</v>
      </c>
      <c r="I6">
        <v>1</v>
      </c>
    </row>
    <row r="7" spans="1:10" x14ac:dyDescent="0.35">
      <c r="A7">
        <v>5</v>
      </c>
      <c r="B7" t="s">
        <v>146</v>
      </c>
      <c r="C7" s="2" t="s">
        <v>11</v>
      </c>
      <c r="D7" t="s">
        <v>214</v>
      </c>
      <c r="I7">
        <v>1</v>
      </c>
    </row>
    <row r="8" spans="1:10" x14ac:dyDescent="0.35">
      <c r="A8">
        <v>6</v>
      </c>
      <c r="B8" t="s">
        <v>146</v>
      </c>
      <c r="C8" s="2" t="s">
        <v>11</v>
      </c>
      <c r="D8" t="s">
        <v>215</v>
      </c>
      <c r="E8">
        <v>1</v>
      </c>
    </row>
    <row r="9" spans="1:10" x14ac:dyDescent="0.35">
      <c r="A9">
        <v>7</v>
      </c>
      <c r="B9" t="s">
        <v>146</v>
      </c>
      <c r="C9" s="2" t="s">
        <v>11</v>
      </c>
      <c r="D9" t="s">
        <v>216</v>
      </c>
      <c r="I9">
        <v>1</v>
      </c>
    </row>
    <row r="10" spans="1:10" x14ac:dyDescent="0.35">
      <c r="A10">
        <v>8</v>
      </c>
      <c r="B10" t="s">
        <v>146</v>
      </c>
      <c r="C10" s="2" t="s">
        <v>11</v>
      </c>
      <c r="D10" t="s">
        <v>217</v>
      </c>
      <c r="I10">
        <v>1</v>
      </c>
    </row>
    <row r="11" spans="1:10" x14ac:dyDescent="0.35">
      <c r="A11">
        <v>9</v>
      </c>
      <c r="B11" t="s">
        <v>146</v>
      </c>
      <c r="C11" s="2" t="s">
        <v>11</v>
      </c>
      <c r="D11" t="s">
        <v>218</v>
      </c>
      <c r="I11">
        <v>1</v>
      </c>
    </row>
    <row r="12" spans="1:10" x14ac:dyDescent="0.35">
      <c r="A12">
        <v>10</v>
      </c>
      <c r="B12" t="s">
        <v>146</v>
      </c>
      <c r="C12" s="2" t="s">
        <v>11</v>
      </c>
      <c r="D12" t="s">
        <v>219</v>
      </c>
      <c r="I12">
        <v>1</v>
      </c>
    </row>
    <row r="13" spans="1:10" x14ac:dyDescent="0.35">
      <c r="A13">
        <v>11</v>
      </c>
      <c r="B13" t="s">
        <v>146</v>
      </c>
      <c r="C13" s="2" t="s">
        <v>11</v>
      </c>
      <c r="D13" t="s">
        <v>220</v>
      </c>
      <c r="I13">
        <v>1</v>
      </c>
    </row>
    <row r="14" spans="1:10" x14ac:dyDescent="0.35">
      <c r="A14">
        <v>12</v>
      </c>
      <c r="B14" t="s">
        <v>146</v>
      </c>
      <c r="C14" s="2" t="s">
        <v>11</v>
      </c>
      <c r="D14" t="s">
        <v>221</v>
      </c>
      <c r="I14">
        <v>1</v>
      </c>
    </row>
    <row r="15" spans="1:10" x14ac:dyDescent="0.35">
      <c r="A15">
        <v>13</v>
      </c>
      <c r="B15" t="s">
        <v>146</v>
      </c>
      <c r="C15" s="2" t="s">
        <v>11</v>
      </c>
      <c r="D15" t="s">
        <v>222</v>
      </c>
      <c r="I15">
        <v>1</v>
      </c>
    </row>
    <row r="16" spans="1:10" x14ac:dyDescent="0.35">
      <c r="A16">
        <v>14</v>
      </c>
      <c r="B16" t="s">
        <v>146</v>
      </c>
      <c r="C16" s="2" t="s">
        <v>11</v>
      </c>
      <c r="D16" t="s">
        <v>223</v>
      </c>
      <c r="H16">
        <v>1</v>
      </c>
    </row>
    <row r="17" spans="1:9" x14ac:dyDescent="0.35">
      <c r="A17">
        <v>15</v>
      </c>
      <c r="B17" t="s">
        <v>146</v>
      </c>
      <c r="C17" s="2" t="s">
        <v>11</v>
      </c>
      <c r="D17" t="s">
        <v>224</v>
      </c>
      <c r="I17">
        <v>1</v>
      </c>
    </row>
    <row r="18" spans="1:9" x14ac:dyDescent="0.35">
      <c r="A18">
        <v>16</v>
      </c>
      <c r="B18" t="s">
        <v>146</v>
      </c>
      <c r="C18" s="2" t="s">
        <v>11</v>
      </c>
      <c r="D18" t="s">
        <v>225</v>
      </c>
      <c r="G18">
        <v>1</v>
      </c>
    </row>
    <row r="19" spans="1:9" x14ac:dyDescent="0.35">
      <c r="A19">
        <v>17</v>
      </c>
      <c r="B19" t="s">
        <v>146</v>
      </c>
      <c r="C19" s="2" t="s">
        <v>11</v>
      </c>
      <c r="D19" t="s">
        <v>226</v>
      </c>
      <c r="I19">
        <v>1</v>
      </c>
    </row>
    <row r="20" spans="1:9" x14ac:dyDescent="0.35">
      <c r="A20">
        <v>18</v>
      </c>
      <c r="B20" t="s">
        <v>146</v>
      </c>
      <c r="C20" s="2" t="s">
        <v>11</v>
      </c>
      <c r="D20" t="s">
        <v>227</v>
      </c>
      <c r="G20">
        <v>1</v>
      </c>
    </row>
    <row r="21" spans="1:9" x14ac:dyDescent="0.35">
      <c r="A21">
        <v>19</v>
      </c>
      <c r="B21" t="s">
        <v>146</v>
      </c>
      <c r="C21" s="2" t="s">
        <v>11</v>
      </c>
      <c r="D21" t="s">
        <v>228</v>
      </c>
      <c r="I21">
        <v>1</v>
      </c>
    </row>
    <row r="22" spans="1:9" x14ac:dyDescent="0.35">
      <c r="A22">
        <v>20</v>
      </c>
      <c r="B22" t="s">
        <v>146</v>
      </c>
      <c r="C22" s="2" t="s">
        <v>11</v>
      </c>
      <c r="D22" t="s">
        <v>229</v>
      </c>
      <c r="E22">
        <v>1</v>
      </c>
    </row>
    <row r="23" spans="1:9" x14ac:dyDescent="0.35">
      <c r="A23">
        <v>21</v>
      </c>
      <c r="B23" t="s">
        <v>146</v>
      </c>
      <c r="C23" s="2" t="s">
        <v>11</v>
      </c>
      <c r="D23" t="s">
        <v>230</v>
      </c>
      <c r="I23">
        <v>1</v>
      </c>
    </row>
    <row r="24" spans="1:9" x14ac:dyDescent="0.35">
      <c r="A24">
        <v>22</v>
      </c>
      <c r="B24" t="s">
        <v>146</v>
      </c>
      <c r="C24" s="2" t="s">
        <v>11</v>
      </c>
      <c r="D24" t="s">
        <v>231</v>
      </c>
      <c r="G24">
        <v>1</v>
      </c>
    </row>
    <row r="25" spans="1:9" x14ac:dyDescent="0.35">
      <c r="A25">
        <v>23</v>
      </c>
      <c r="B25" t="s">
        <v>146</v>
      </c>
      <c r="C25" s="2" t="s">
        <v>11</v>
      </c>
      <c r="D25" t="s">
        <v>232</v>
      </c>
      <c r="I25">
        <v>1</v>
      </c>
    </row>
    <row r="26" spans="1:9" x14ac:dyDescent="0.35">
      <c r="A26">
        <v>24</v>
      </c>
      <c r="B26" t="s">
        <v>146</v>
      </c>
      <c r="C26" s="2" t="s">
        <v>11</v>
      </c>
      <c r="D26" t="s">
        <v>233</v>
      </c>
      <c r="E26">
        <v>1</v>
      </c>
    </row>
    <row r="27" spans="1:9" x14ac:dyDescent="0.35">
      <c r="A27">
        <v>25</v>
      </c>
      <c r="B27" t="s">
        <v>146</v>
      </c>
      <c r="C27" s="2" t="s">
        <v>11</v>
      </c>
      <c r="D27" t="s">
        <v>234</v>
      </c>
      <c r="I27">
        <v>1</v>
      </c>
    </row>
    <row r="28" spans="1:9" x14ac:dyDescent="0.35">
      <c r="A28">
        <v>26</v>
      </c>
      <c r="B28" t="s">
        <v>146</v>
      </c>
      <c r="C28" s="2" t="s">
        <v>11</v>
      </c>
      <c r="D28" t="s">
        <v>235</v>
      </c>
      <c r="I28">
        <v>1</v>
      </c>
    </row>
    <row r="29" spans="1:9" x14ac:dyDescent="0.35">
      <c r="A29">
        <v>27</v>
      </c>
      <c r="B29" t="s">
        <v>146</v>
      </c>
      <c r="C29" s="2" t="s">
        <v>11</v>
      </c>
      <c r="D29" t="s">
        <v>236</v>
      </c>
      <c r="E29">
        <v>1</v>
      </c>
    </row>
    <row r="30" spans="1:9" x14ac:dyDescent="0.35">
      <c r="A30">
        <v>28</v>
      </c>
      <c r="B30" t="s">
        <v>146</v>
      </c>
      <c r="C30" s="2" t="s">
        <v>11</v>
      </c>
      <c r="D30" t="s">
        <v>237</v>
      </c>
      <c r="I30">
        <v>1</v>
      </c>
    </row>
    <row r="31" spans="1:9" x14ac:dyDescent="0.35">
      <c r="A31">
        <v>29</v>
      </c>
      <c r="B31" t="s">
        <v>146</v>
      </c>
      <c r="C31" s="2" t="s">
        <v>11</v>
      </c>
      <c r="D31" t="s">
        <v>238</v>
      </c>
      <c r="I31">
        <v>1</v>
      </c>
    </row>
    <row r="32" spans="1:9" x14ac:dyDescent="0.35">
      <c r="A32">
        <v>30</v>
      </c>
      <c r="B32" t="s">
        <v>146</v>
      </c>
      <c r="C32" s="2" t="s">
        <v>11</v>
      </c>
      <c r="D32" t="s">
        <v>239</v>
      </c>
      <c r="I32">
        <v>1</v>
      </c>
    </row>
    <row r="36" spans="1:10" x14ac:dyDescent="0.35">
      <c r="C36" s="5" t="s">
        <v>7</v>
      </c>
      <c r="D36" s="6">
        <f>COUNTIF(E3:E33,1)</f>
        <v>4</v>
      </c>
      <c r="E36" s="6">
        <f>COUNTIF(E3:E22,1)</f>
        <v>2</v>
      </c>
    </row>
    <row r="37" spans="1:10" x14ac:dyDescent="0.35">
      <c r="C37" s="5" t="s">
        <v>8</v>
      </c>
      <c r="D37" s="6">
        <f>COUNTIF(E3:E33,1) + COUNTIF(G3:G33,1)</f>
        <v>8</v>
      </c>
      <c r="E37" s="6">
        <f>COUNTIF(E3:E22,1) + COUNTIF(G3:G22,1)</f>
        <v>5</v>
      </c>
    </row>
    <row r="38" spans="1:10" x14ac:dyDescent="0.35">
      <c r="C38" s="5" t="s">
        <v>10</v>
      </c>
      <c r="D38" s="6">
        <f>COUNTIF(F3:F33,1) + COUNTIF(H3:H33,1) + COUNTIF(I3:I33,1) + COUNTIF(J3:J33,1)</f>
        <v>22</v>
      </c>
      <c r="E38" s="6">
        <f>COUNTIF(F3:F22,1) + COUNTIF(H3:H22,1) + COUNTIF(I3:I22,1) + COUNTIF(J3:J22,1)</f>
        <v>15</v>
      </c>
    </row>
    <row r="39" spans="1:10" x14ac:dyDescent="0.35">
      <c r="C39" s="5" t="s">
        <v>9</v>
      </c>
      <c r="D39" s="6">
        <f>COUNTIF(F3:F33,1) + COUNTIF(H3:H33,1)</f>
        <v>3</v>
      </c>
      <c r="E39" s="6">
        <f>COUNTIF(F3:F22,1) + COUNTIF(H3:H22,1)</f>
        <v>3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30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146</v>
      </c>
      <c r="C43" s="4" t="s">
        <v>28</v>
      </c>
      <c r="D43" t="s">
        <v>240</v>
      </c>
      <c r="I43">
        <v>1</v>
      </c>
    </row>
    <row r="44" spans="1:10" x14ac:dyDescent="0.35">
      <c r="A44">
        <v>2</v>
      </c>
      <c r="B44" t="s">
        <v>146</v>
      </c>
      <c r="C44" s="4" t="s">
        <v>28</v>
      </c>
      <c r="D44" t="s">
        <v>241</v>
      </c>
      <c r="I44">
        <v>1</v>
      </c>
    </row>
    <row r="45" spans="1:10" x14ac:dyDescent="0.35">
      <c r="A45">
        <v>3</v>
      </c>
      <c r="B45" t="s">
        <v>146</v>
      </c>
      <c r="C45" s="4" t="s">
        <v>28</v>
      </c>
      <c r="D45" t="s">
        <v>242</v>
      </c>
      <c r="E45">
        <v>1</v>
      </c>
    </row>
    <row r="46" spans="1:10" x14ac:dyDescent="0.35">
      <c r="A46">
        <v>4</v>
      </c>
      <c r="B46" t="s">
        <v>146</v>
      </c>
      <c r="C46" s="4" t="s">
        <v>28</v>
      </c>
      <c r="D46" t="s">
        <v>243</v>
      </c>
      <c r="F46">
        <v>1</v>
      </c>
    </row>
    <row r="47" spans="1:10" x14ac:dyDescent="0.35">
      <c r="A47">
        <v>5</v>
      </c>
      <c r="B47" t="s">
        <v>146</v>
      </c>
      <c r="C47" s="4" t="s">
        <v>28</v>
      </c>
      <c r="D47" t="s">
        <v>244</v>
      </c>
      <c r="I47">
        <v>1</v>
      </c>
    </row>
    <row r="48" spans="1:10" x14ac:dyDescent="0.35">
      <c r="A48">
        <v>6</v>
      </c>
      <c r="B48" t="s">
        <v>146</v>
      </c>
      <c r="C48" s="4" t="s">
        <v>28</v>
      </c>
      <c r="D48" t="s">
        <v>245</v>
      </c>
      <c r="F48">
        <v>1</v>
      </c>
    </row>
    <row r="49" spans="1:9" x14ac:dyDescent="0.35">
      <c r="A49">
        <v>7</v>
      </c>
      <c r="B49" t="s">
        <v>146</v>
      </c>
      <c r="C49" s="4" t="s">
        <v>28</v>
      </c>
      <c r="D49" t="s">
        <v>246</v>
      </c>
      <c r="I49">
        <v>1</v>
      </c>
    </row>
    <row r="50" spans="1:9" x14ac:dyDescent="0.35">
      <c r="A50">
        <v>8</v>
      </c>
      <c r="B50" t="s">
        <v>146</v>
      </c>
      <c r="C50" s="4" t="s">
        <v>28</v>
      </c>
      <c r="D50" t="s">
        <v>247</v>
      </c>
      <c r="I50">
        <v>1</v>
      </c>
    </row>
    <row r="51" spans="1:9" x14ac:dyDescent="0.35">
      <c r="A51">
        <v>9</v>
      </c>
      <c r="B51" t="s">
        <v>146</v>
      </c>
      <c r="C51" s="4" t="s">
        <v>28</v>
      </c>
      <c r="D51" t="s">
        <v>248</v>
      </c>
      <c r="I51">
        <v>1</v>
      </c>
    </row>
    <row r="52" spans="1:9" x14ac:dyDescent="0.35">
      <c r="A52">
        <v>10</v>
      </c>
      <c r="B52" t="s">
        <v>146</v>
      </c>
      <c r="C52" s="4" t="s">
        <v>28</v>
      </c>
      <c r="D52" t="s">
        <v>249</v>
      </c>
      <c r="E52">
        <v>1</v>
      </c>
    </row>
    <row r="53" spans="1:9" x14ac:dyDescent="0.35">
      <c r="A53">
        <v>11</v>
      </c>
      <c r="B53" t="s">
        <v>146</v>
      </c>
      <c r="C53" s="4" t="s">
        <v>28</v>
      </c>
      <c r="D53" t="s">
        <v>250</v>
      </c>
      <c r="H53">
        <v>1</v>
      </c>
    </row>
    <row r="54" spans="1:9" x14ac:dyDescent="0.35">
      <c r="A54">
        <v>12</v>
      </c>
      <c r="B54" t="s">
        <v>146</v>
      </c>
      <c r="C54" s="4" t="s">
        <v>28</v>
      </c>
      <c r="D54" t="s">
        <v>251</v>
      </c>
      <c r="I54">
        <v>1</v>
      </c>
    </row>
    <row r="55" spans="1:9" x14ac:dyDescent="0.35">
      <c r="A55">
        <v>13</v>
      </c>
      <c r="B55" t="s">
        <v>146</v>
      </c>
      <c r="C55" s="4" t="s">
        <v>28</v>
      </c>
      <c r="D55" t="s">
        <v>252</v>
      </c>
      <c r="I55">
        <v>1</v>
      </c>
    </row>
    <row r="56" spans="1:9" x14ac:dyDescent="0.35">
      <c r="A56">
        <v>14</v>
      </c>
      <c r="B56" t="s">
        <v>146</v>
      </c>
      <c r="C56" s="4" t="s">
        <v>28</v>
      </c>
      <c r="D56" t="s">
        <v>253</v>
      </c>
      <c r="I56">
        <v>1</v>
      </c>
    </row>
    <row r="57" spans="1:9" x14ac:dyDescent="0.35">
      <c r="A57">
        <v>15</v>
      </c>
      <c r="B57" t="s">
        <v>146</v>
      </c>
      <c r="C57" s="4" t="s">
        <v>28</v>
      </c>
      <c r="D57" t="s">
        <v>254</v>
      </c>
      <c r="E57">
        <v>1</v>
      </c>
    </row>
    <row r="58" spans="1:9" x14ac:dyDescent="0.35">
      <c r="A58">
        <v>16</v>
      </c>
      <c r="B58" t="s">
        <v>146</v>
      </c>
      <c r="C58" s="4" t="s">
        <v>28</v>
      </c>
      <c r="D58" t="s">
        <v>255</v>
      </c>
      <c r="E58">
        <v>1</v>
      </c>
    </row>
    <row r="59" spans="1:9" x14ac:dyDescent="0.35">
      <c r="A59">
        <v>17</v>
      </c>
      <c r="B59" t="s">
        <v>146</v>
      </c>
      <c r="C59" s="4" t="s">
        <v>28</v>
      </c>
      <c r="D59" t="s">
        <v>256</v>
      </c>
      <c r="I59">
        <v>1</v>
      </c>
    </row>
    <row r="60" spans="1:9" x14ac:dyDescent="0.35">
      <c r="A60">
        <v>18</v>
      </c>
      <c r="B60" t="s">
        <v>146</v>
      </c>
      <c r="C60" s="4" t="s">
        <v>28</v>
      </c>
      <c r="D60" t="s">
        <v>257</v>
      </c>
      <c r="E60">
        <v>1</v>
      </c>
    </row>
    <row r="61" spans="1:9" x14ac:dyDescent="0.35">
      <c r="A61">
        <v>19</v>
      </c>
      <c r="B61" t="s">
        <v>146</v>
      </c>
      <c r="C61" s="4" t="s">
        <v>28</v>
      </c>
      <c r="D61" t="s">
        <v>258</v>
      </c>
      <c r="E61">
        <v>1</v>
      </c>
    </row>
    <row r="62" spans="1:9" x14ac:dyDescent="0.35">
      <c r="A62">
        <v>20</v>
      </c>
      <c r="B62" t="s">
        <v>146</v>
      </c>
      <c r="C62" s="4" t="s">
        <v>28</v>
      </c>
      <c r="D62" t="s">
        <v>259</v>
      </c>
      <c r="E62">
        <v>1</v>
      </c>
    </row>
    <row r="63" spans="1:9" x14ac:dyDescent="0.35">
      <c r="A63">
        <v>21</v>
      </c>
      <c r="B63" t="s">
        <v>146</v>
      </c>
      <c r="C63" s="4" t="s">
        <v>28</v>
      </c>
      <c r="D63" t="s">
        <v>260</v>
      </c>
      <c r="E63">
        <v>1</v>
      </c>
    </row>
    <row r="64" spans="1:9" x14ac:dyDescent="0.35">
      <c r="A64">
        <v>22</v>
      </c>
      <c r="B64" t="s">
        <v>146</v>
      </c>
      <c r="C64" s="4" t="s">
        <v>28</v>
      </c>
      <c r="D64" t="s">
        <v>261</v>
      </c>
      <c r="I64">
        <v>1</v>
      </c>
    </row>
    <row r="65" spans="1:10" x14ac:dyDescent="0.35">
      <c r="A65">
        <v>23</v>
      </c>
      <c r="B65" t="s">
        <v>146</v>
      </c>
      <c r="C65" s="4" t="s">
        <v>28</v>
      </c>
      <c r="D65" t="s">
        <v>262</v>
      </c>
      <c r="E65">
        <v>1</v>
      </c>
    </row>
    <row r="66" spans="1:10" x14ac:dyDescent="0.35">
      <c r="A66">
        <v>24</v>
      </c>
      <c r="B66" t="s">
        <v>146</v>
      </c>
      <c r="C66" s="4" t="s">
        <v>28</v>
      </c>
      <c r="D66" t="s">
        <v>263</v>
      </c>
      <c r="J66">
        <v>1</v>
      </c>
    </row>
    <row r="67" spans="1:10" x14ac:dyDescent="0.35">
      <c r="A67">
        <v>25</v>
      </c>
      <c r="B67" t="s">
        <v>146</v>
      </c>
      <c r="C67" s="4" t="s">
        <v>28</v>
      </c>
      <c r="D67" t="s">
        <v>264</v>
      </c>
      <c r="H67">
        <v>1</v>
      </c>
    </row>
    <row r="68" spans="1:10" x14ac:dyDescent="0.35">
      <c r="A68">
        <v>26</v>
      </c>
      <c r="B68" t="s">
        <v>146</v>
      </c>
      <c r="C68" s="4" t="s">
        <v>28</v>
      </c>
      <c r="D68" t="s">
        <v>265</v>
      </c>
      <c r="E68">
        <v>1</v>
      </c>
    </row>
    <row r="69" spans="1:10" x14ac:dyDescent="0.35">
      <c r="A69">
        <v>27</v>
      </c>
      <c r="B69" t="s">
        <v>146</v>
      </c>
      <c r="C69" s="4" t="s">
        <v>28</v>
      </c>
      <c r="D69" t="s">
        <v>266</v>
      </c>
      <c r="E69">
        <v>1</v>
      </c>
    </row>
    <row r="70" spans="1:10" x14ac:dyDescent="0.35">
      <c r="A70">
        <v>28</v>
      </c>
      <c r="B70" t="s">
        <v>146</v>
      </c>
      <c r="C70" s="4" t="s">
        <v>28</v>
      </c>
      <c r="D70" t="s">
        <v>267</v>
      </c>
      <c r="J70">
        <v>1</v>
      </c>
    </row>
    <row r="71" spans="1:10" x14ac:dyDescent="0.35">
      <c r="A71">
        <v>29</v>
      </c>
      <c r="B71" t="s">
        <v>146</v>
      </c>
      <c r="C71" s="4" t="s">
        <v>28</v>
      </c>
      <c r="D71" t="s">
        <v>268</v>
      </c>
      <c r="I71">
        <v>1</v>
      </c>
    </row>
    <row r="72" spans="1:10" x14ac:dyDescent="0.35">
      <c r="A72">
        <v>30</v>
      </c>
      <c r="B72" t="s">
        <v>146</v>
      </c>
      <c r="C72" s="4" t="s">
        <v>28</v>
      </c>
      <c r="D72" t="s">
        <v>269</v>
      </c>
      <c r="F72">
        <v>1</v>
      </c>
    </row>
    <row r="76" spans="1:10" x14ac:dyDescent="0.35">
      <c r="C76" s="5" t="s">
        <v>7</v>
      </c>
      <c r="D76" s="6">
        <f>COUNTIF(E43:E72,1)</f>
        <v>11</v>
      </c>
      <c r="E76" s="6">
        <f>COUNTIF(E43:E62,1)</f>
        <v>7</v>
      </c>
    </row>
    <row r="77" spans="1:10" x14ac:dyDescent="0.35">
      <c r="C77" s="5" t="s">
        <v>8</v>
      </c>
      <c r="D77" s="6">
        <f>COUNTIF(E43:E72,1) + COUNTIF(G43:G72,1)</f>
        <v>11</v>
      </c>
      <c r="E77" s="6">
        <f>COUNTIF(E43:E62,1) + COUNTIF(G43:G62,1)</f>
        <v>7</v>
      </c>
    </row>
    <row r="78" spans="1:10" x14ac:dyDescent="0.35">
      <c r="C78" s="5" t="s">
        <v>10</v>
      </c>
      <c r="D78" s="6">
        <f>COUNTIF(F43:F72,1) + COUNTIF(H43:H72,1) + COUNTIF(I43:I72,1) + COUNTIF(J43:J72,1)</f>
        <v>19</v>
      </c>
      <c r="E78" s="6">
        <f>COUNTIF(F43:F62,1) + COUNTIF(H43:H62,1) + COUNTIF(I43:I62,1) + COUNTIF(J43:J62,1)</f>
        <v>13</v>
      </c>
    </row>
    <row r="79" spans="1:10" x14ac:dyDescent="0.35">
      <c r="C79" s="5" t="s">
        <v>9</v>
      </c>
      <c r="D79" s="6">
        <f>COUNTIF(F43:F72,1) + COUNTIF(H43:H72,1)</f>
        <v>5</v>
      </c>
      <c r="E79" s="6">
        <f>COUNTIF(F43:F62,1) + COUNTIF(H43:H62,1)</f>
        <v>3</v>
      </c>
    </row>
    <row r="80" spans="1:10" x14ac:dyDescent="0.35">
      <c r="C80" s="5" t="s">
        <v>209</v>
      </c>
      <c r="D80" s="6">
        <f>COUNTIF(F43:F72,1) + COUNTIF(E43:E72,1) + COUNTIF(G43:G72,1) + COUNTIF(H43:H72,1) + COUNTIF(I43:I72,1) + COUNTIF(J43:J72,1)</f>
        <v>30</v>
      </c>
      <c r="E80" s="6">
        <f>COUNTIF(E43:E62,1) + COUNTIF(F43:F62,1) + COUNTIF(G43:G62,1) + COUNTIF(H43:H62,1) + COUNTIF(K43:K62,1) + COUNTIF(J43:J62,1) + COUNTIF(I43:I62,1)</f>
        <v>20</v>
      </c>
    </row>
  </sheetData>
  <phoneticPr fontId="1" type="noConversion"/>
  <conditionalFormatting sqref="E3:E33">
    <cfRule type="cellIs" dxfId="79" priority="7" operator="between">
      <formula>1</formula>
      <formula>1</formula>
    </cfRule>
  </conditionalFormatting>
  <conditionalFormatting sqref="E43:E73">
    <cfRule type="cellIs" dxfId="78" priority="4" operator="between">
      <formula>1</formula>
      <formula>1</formula>
    </cfRule>
  </conditionalFormatting>
  <conditionalFormatting sqref="F3:F33">
    <cfRule type="cellIs" dxfId="77" priority="5" operator="between">
      <formula>1</formula>
      <formula>1</formula>
    </cfRule>
  </conditionalFormatting>
  <conditionalFormatting sqref="F43:F73">
    <cfRule type="cellIs" dxfId="76" priority="3" operator="between">
      <formula>1</formula>
      <formula>1</formula>
    </cfRule>
  </conditionalFormatting>
  <conditionalFormatting sqref="G3:G33">
    <cfRule type="cellIs" dxfId="75" priority="8" operator="between">
      <formula>1</formula>
      <formula>2</formula>
    </cfRule>
  </conditionalFormatting>
  <conditionalFormatting sqref="G43:G73">
    <cfRule type="cellIs" dxfId="74" priority="2" operator="between">
      <formula>1</formula>
      <formula>1</formula>
    </cfRule>
  </conditionalFormatting>
  <conditionalFormatting sqref="H3:J33">
    <cfRule type="cellIs" dxfId="73" priority="6" operator="between">
      <formula>1</formula>
      <formula>1</formula>
    </cfRule>
  </conditionalFormatting>
  <conditionalFormatting sqref="H43:J73">
    <cfRule type="cellIs" dxfId="72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1A62-4022-40A1-B868-1B7C500FAEE8}">
  <dimension ref="A2:J80"/>
  <sheetViews>
    <sheetView topLeftCell="A70" zoomScale="90" zoomScaleNormal="90" workbookViewId="0">
      <selection activeCell="E76" sqref="E76: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147</v>
      </c>
      <c r="C3" s="2" t="s">
        <v>11</v>
      </c>
      <c r="D3" t="s">
        <v>300</v>
      </c>
      <c r="I3">
        <v>1</v>
      </c>
    </row>
    <row r="4" spans="1:10" x14ac:dyDescent="0.35">
      <c r="A4">
        <v>2</v>
      </c>
      <c r="B4" t="s">
        <v>147</v>
      </c>
      <c r="C4" s="2" t="s">
        <v>11</v>
      </c>
      <c r="D4" t="s">
        <v>301</v>
      </c>
      <c r="H4">
        <v>1</v>
      </c>
    </row>
    <row r="5" spans="1:10" x14ac:dyDescent="0.35">
      <c r="A5">
        <v>3</v>
      </c>
      <c r="B5" t="s">
        <v>147</v>
      </c>
      <c r="C5" s="2" t="s">
        <v>11</v>
      </c>
      <c r="D5" t="s">
        <v>302</v>
      </c>
      <c r="I5">
        <v>1</v>
      </c>
    </row>
    <row r="6" spans="1:10" x14ac:dyDescent="0.35">
      <c r="A6">
        <v>4</v>
      </c>
      <c r="B6" t="s">
        <v>147</v>
      </c>
      <c r="C6" s="2" t="s">
        <v>11</v>
      </c>
      <c r="D6" t="s">
        <v>303</v>
      </c>
      <c r="I6">
        <v>1</v>
      </c>
    </row>
    <row r="7" spans="1:10" x14ac:dyDescent="0.35">
      <c r="A7">
        <v>5</v>
      </c>
      <c r="B7" t="s">
        <v>147</v>
      </c>
      <c r="C7" s="2" t="s">
        <v>11</v>
      </c>
      <c r="D7" t="s">
        <v>304</v>
      </c>
      <c r="I7">
        <v>1</v>
      </c>
    </row>
    <row r="8" spans="1:10" x14ac:dyDescent="0.35">
      <c r="A8">
        <v>6</v>
      </c>
      <c r="B8" t="s">
        <v>147</v>
      </c>
      <c r="C8" s="2" t="s">
        <v>11</v>
      </c>
      <c r="D8" t="s">
        <v>305</v>
      </c>
      <c r="I8">
        <v>1</v>
      </c>
    </row>
    <row r="9" spans="1:10" x14ac:dyDescent="0.35">
      <c r="A9">
        <v>7</v>
      </c>
      <c r="B9" t="s">
        <v>147</v>
      </c>
      <c r="C9" s="2" t="s">
        <v>11</v>
      </c>
      <c r="D9" t="s">
        <v>306</v>
      </c>
      <c r="I9">
        <v>1</v>
      </c>
    </row>
    <row r="10" spans="1:10" x14ac:dyDescent="0.35">
      <c r="A10">
        <v>8</v>
      </c>
      <c r="B10" t="s">
        <v>147</v>
      </c>
      <c r="C10" s="2" t="s">
        <v>11</v>
      </c>
      <c r="D10" t="s">
        <v>307</v>
      </c>
      <c r="I10">
        <v>1</v>
      </c>
    </row>
    <row r="11" spans="1:10" x14ac:dyDescent="0.35">
      <c r="A11">
        <v>9</v>
      </c>
      <c r="B11" t="s">
        <v>147</v>
      </c>
      <c r="C11" s="2" t="s">
        <v>11</v>
      </c>
      <c r="D11" t="s">
        <v>308</v>
      </c>
      <c r="I11">
        <v>1</v>
      </c>
    </row>
    <row r="12" spans="1:10" x14ac:dyDescent="0.35">
      <c r="A12">
        <v>10</v>
      </c>
      <c r="B12" t="s">
        <v>147</v>
      </c>
      <c r="C12" s="2" t="s">
        <v>11</v>
      </c>
      <c r="D12" t="s">
        <v>309</v>
      </c>
      <c r="I12">
        <v>1</v>
      </c>
    </row>
    <row r="13" spans="1:10" x14ac:dyDescent="0.35">
      <c r="A13">
        <v>11</v>
      </c>
      <c r="B13" t="s">
        <v>147</v>
      </c>
      <c r="C13" s="2" t="s">
        <v>11</v>
      </c>
      <c r="D13" t="s">
        <v>310</v>
      </c>
      <c r="I13">
        <v>1</v>
      </c>
    </row>
    <row r="14" spans="1:10" x14ac:dyDescent="0.35">
      <c r="A14">
        <v>12</v>
      </c>
      <c r="B14" t="s">
        <v>147</v>
      </c>
      <c r="C14" s="2" t="s">
        <v>11</v>
      </c>
      <c r="D14" t="s">
        <v>311</v>
      </c>
      <c r="I14">
        <v>1</v>
      </c>
    </row>
    <row r="15" spans="1:10" x14ac:dyDescent="0.35">
      <c r="A15">
        <v>13</v>
      </c>
      <c r="B15" t="s">
        <v>147</v>
      </c>
      <c r="C15" s="2" t="s">
        <v>11</v>
      </c>
      <c r="D15" t="s">
        <v>312</v>
      </c>
      <c r="I15">
        <v>1</v>
      </c>
    </row>
    <row r="16" spans="1:10" x14ac:dyDescent="0.35">
      <c r="A16">
        <v>14</v>
      </c>
      <c r="B16" t="s">
        <v>147</v>
      </c>
      <c r="C16" s="2" t="s">
        <v>11</v>
      </c>
      <c r="D16" t="s">
        <v>313</v>
      </c>
      <c r="I16">
        <v>1</v>
      </c>
    </row>
    <row r="17" spans="1:9" x14ac:dyDescent="0.35">
      <c r="A17">
        <v>15</v>
      </c>
      <c r="B17" t="s">
        <v>147</v>
      </c>
      <c r="C17" s="2" t="s">
        <v>11</v>
      </c>
      <c r="D17" t="s">
        <v>314</v>
      </c>
      <c r="G17">
        <v>1</v>
      </c>
    </row>
    <row r="18" spans="1:9" x14ac:dyDescent="0.35">
      <c r="A18">
        <v>16</v>
      </c>
      <c r="B18" t="s">
        <v>147</v>
      </c>
      <c r="C18" s="2" t="s">
        <v>11</v>
      </c>
      <c r="D18" t="s">
        <v>315</v>
      </c>
      <c r="I18">
        <v>1</v>
      </c>
    </row>
    <row r="19" spans="1:9" x14ac:dyDescent="0.35">
      <c r="A19">
        <v>17</v>
      </c>
      <c r="B19" t="s">
        <v>147</v>
      </c>
      <c r="C19" s="2" t="s">
        <v>11</v>
      </c>
      <c r="D19" t="s">
        <v>316</v>
      </c>
      <c r="I19">
        <v>1</v>
      </c>
    </row>
    <row r="20" spans="1:9" x14ac:dyDescent="0.35">
      <c r="A20">
        <v>18</v>
      </c>
      <c r="B20" t="s">
        <v>147</v>
      </c>
      <c r="C20" s="2" t="s">
        <v>11</v>
      </c>
      <c r="D20" t="s">
        <v>317</v>
      </c>
      <c r="I20">
        <v>1</v>
      </c>
    </row>
    <row r="21" spans="1:9" x14ac:dyDescent="0.35">
      <c r="A21">
        <v>19</v>
      </c>
      <c r="B21" t="s">
        <v>147</v>
      </c>
      <c r="C21" s="2" t="s">
        <v>11</v>
      </c>
      <c r="D21" t="s">
        <v>318</v>
      </c>
      <c r="I21">
        <v>1</v>
      </c>
    </row>
    <row r="22" spans="1:9" x14ac:dyDescent="0.35">
      <c r="A22">
        <v>20</v>
      </c>
      <c r="B22" t="s">
        <v>147</v>
      </c>
      <c r="C22" s="2" t="s">
        <v>11</v>
      </c>
      <c r="D22" t="s">
        <v>319</v>
      </c>
      <c r="I22">
        <v>1</v>
      </c>
    </row>
    <row r="23" spans="1:9" x14ac:dyDescent="0.35">
      <c r="A23">
        <v>21</v>
      </c>
      <c r="B23" t="s">
        <v>147</v>
      </c>
      <c r="C23" s="2" t="s">
        <v>11</v>
      </c>
      <c r="D23" t="s">
        <v>320</v>
      </c>
      <c r="G23">
        <v>1</v>
      </c>
    </row>
    <row r="24" spans="1:9" x14ac:dyDescent="0.35">
      <c r="A24">
        <v>22</v>
      </c>
      <c r="B24" t="s">
        <v>147</v>
      </c>
      <c r="C24" s="2" t="s">
        <v>11</v>
      </c>
      <c r="D24" t="s">
        <v>321</v>
      </c>
      <c r="G24">
        <v>1</v>
      </c>
    </row>
    <row r="25" spans="1:9" x14ac:dyDescent="0.35">
      <c r="A25">
        <v>23</v>
      </c>
      <c r="B25" t="s">
        <v>147</v>
      </c>
      <c r="C25" s="2" t="s">
        <v>11</v>
      </c>
      <c r="D25" t="s">
        <v>322</v>
      </c>
      <c r="I25">
        <v>1</v>
      </c>
    </row>
    <row r="26" spans="1:9" x14ac:dyDescent="0.35">
      <c r="A26">
        <v>24</v>
      </c>
      <c r="B26" t="s">
        <v>147</v>
      </c>
      <c r="C26" s="2" t="s">
        <v>11</v>
      </c>
      <c r="D26" t="s">
        <v>323</v>
      </c>
      <c r="I26">
        <v>1</v>
      </c>
    </row>
    <row r="27" spans="1:9" x14ac:dyDescent="0.35">
      <c r="A27">
        <v>25</v>
      </c>
      <c r="B27" t="s">
        <v>147</v>
      </c>
      <c r="C27" s="2" t="s">
        <v>11</v>
      </c>
      <c r="D27" t="s">
        <v>324</v>
      </c>
      <c r="I27">
        <v>1</v>
      </c>
    </row>
    <row r="28" spans="1:9" x14ac:dyDescent="0.35">
      <c r="A28">
        <v>26</v>
      </c>
      <c r="B28" t="s">
        <v>147</v>
      </c>
      <c r="C28" s="2" t="s">
        <v>11</v>
      </c>
      <c r="D28" t="s">
        <v>325</v>
      </c>
      <c r="I28">
        <v>1</v>
      </c>
    </row>
    <row r="29" spans="1:9" x14ac:dyDescent="0.35">
      <c r="A29">
        <v>27</v>
      </c>
      <c r="B29" t="s">
        <v>147</v>
      </c>
      <c r="C29" s="2" t="s">
        <v>11</v>
      </c>
      <c r="D29" t="s">
        <v>326</v>
      </c>
      <c r="I29">
        <v>1</v>
      </c>
    </row>
    <row r="30" spans="1:9" x14ac:dyDescent="0.35">
      <c r="A30">
        <v>28</v>
      </c>
      <c r="B30" t="s">
        <v>147</v>
      </c>
      <c r="C30" s="2" t="s">
        <v>11</v>
      </c>
    </row>
    <row r="31" spans="1:9" x14ac:dyDescent="0.35">
      <c r="A31">
        <v>29</v>
      </c>
      <c r="B31" t="s">
        <v>147</v>
      </c>
      <c r="C31" s="2" t="s">
        <v>11</v>
      </c>
    </row>
    <row r="32" spans="1:9" x14ac:dyDescent="0.35">
      <c r="A32">
        <v>30</v>
      </c>
      <c r="B32" t="s">
        <v>147</v>
      </c>
      <c r="C32" s="2" t="s">
        <v>11</v>
      </c>
    </row>
    <row r="33" spans="1:10" x14ac:dyDescent="0.35">
      <c r="A33">
        <v>31</v>
      </c>
      <c r="B33" t="s">
        <v>147</v>
      </c>
      <c r="C33" s="2" t="s">
        <v>11</v>
      </c>
    </row>
    <row r="36" spans="1:10" x14ac:dyDescent="0.35">
      <c r="C36" s="5" t="s">
        <v>7</v>
      </c>
      <c r="D36" s="6">
        <f>COUNTIF(E3:E33,1)</f>
        <v>0</v>
      </c>
      <c r="E36" s="6">
        <f>COUNTIF(E3:E22,1)</f>
        <v>0</v>
      </c>
    </row>
    <row r="37" spans="1:10" x14ac:dyDescent="0.35">
      <c r="C37" s="5" t="s">
        <v>8</v>
      </c>
      <c r="D37" s="6">
        <f>COUNTIF(E3:E33,1) + COUNTIF(G3:G33,1)</f>
        <v>3</v>
      </c>
      <c r="E37" s="6">
        <f>COUNTIF(E3:E22,1) + COUNTIF(G3:G22,1)</f>
        <v>1</v>
      </c>
    </row>
    <row r="38" spans="1:10" x14ac:dyDescent="0.35">
      <c r="C38" s="5" t="s">
        <v>10</v>
      </c>
      <c r="D38" s="6">
        <f>COUNTIF(F3:F33,1) + COUNTIF(H3:H33,1) + COUNTIF(I3:I33,1) + COUNTIF(J3:J33,1)</f>
        <v>24</v>
      </c>
      <c r="E38" s="6">
        <f>COUNTIF(F3:F22,1) + COUNTIF(H3:H22,1) + COUNTIF(I3:I22,1) + COUNTIF(J3:J22,1)</f>
        <v>19</v>
      </c>
    </row>
    <row r="39" spans="1:10" x14ac:dyDescent="0.35">
      <c r="C39" s="5" t="s">
        <v>9</v>
      </c>
      <c r="D39" s="6">
        <f>COUNTIF(F3:F33,1) + COUNTIF(H3:H33,1)</f>
        <v>1</v>
      </c>
      <c r="E39" s="6">
        <f>COUNTIF(F3:F22,1) + COUNTIF(H3:H22,1)</f>
        <v>1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27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147</v>
      </c>
      <c r="C43" s="4" t="s">
        <v>28</v>
      </c>
      <c r="D43" t="s">
        <v>270</v>
      </c>
      <c r="I43">
        <v>1</v>
      </c>
    </row>
    <row r="44" spans="1:10" x14ac:dyDescent="0.35">
      <c r="A44">
        <v>2</v>
      </c>
      <c r="B44" t="s">
        <v>147</v>
      </c>
      <c r="C44" s="4" t="s">
        <v>28</v>
      </c>
      <c r="D44" t="s">
        <v>271</v>
      </c>
      <c r="I44">
        <v>1</v>
      </c>
    </row>
    <row r="45" spans="1:10" x14ac:dyDescent="0.35">
      <c r="A45">
        <v>3</v>
      </c>
      <c r="B45" t="s">
        <v>147</v>
      </c>
      <c r="C45" s="4" t="s">
        <v>28</v>
      </c>
      <c r="D45" t="s">
        <v>272</v>
      </c>
      <c r="H45">
        <v>1</v>
      </c>
    </row>
    <row r="46" spans="1:10" x14ac:dyDescent="0.35">
      <c r="A46">
        <v>4</v>
      </c>
      <c r="B46" t="s">
        <v>147</v>
      </c>
      <c r="C46" s="4" t="s">
        <v>28</v>
      </c>
      <c r="D46" t="s">
        <v>273</v>
      </c>
      <c r="I46">
        <v>1</v>
      </c>
    </row>
    <row r="47" spans="1:10" x14ac:dyDescent="0.35">
      <c r="A47">
        <v>5</v>
      </c>
      <c r="B47" t="s">
        <v>147</v>
      </c>
      <c r="C47" s="4" t="s">
        <v>28</v>
      </c>
      <c r="D47" t="s">
        <v>274</v>
      </c>
      <c r="I47">
        <v>1</v>
      </c>
    </row>
    <row r="48" spans="1:10" x14ac:dyDescent="0.35">
      <c r="A48">
        <v>6</v>
      </c>
      <c r="B48" t="s">
        <v>147</v>
      </c>
      <c r="C48" s="4" t="s">
        <v>28</v>
      </c>
      <c r="D48" t="s">
        <v>275</v>
      </c>
      <c r="F48">
        <v>1</v>
      </c>
    </row>
    <row r="49" spans="1:9" x14ac:dyDescent="0.35">
      <c r="A49">
        <v>7</v>
      </c>
      <c r="B49" t="s">
        <v>147</v>
      </c>
      <c r="C49" s="4" t="s">
        <v>28</v>
      </c>
      <c r="D49" t="s">
        <v>276</v>
      </c>
      <c r="H49">
        <v>1</v>
      </c>
    </row>
    <row r="50" spans="1:9" x14ac:dyDescent="0.35">
      <c r="A50">
        <v>8</v>
      </c>
      <c r="B50" t="s">
        <v>147</v>
      </c>
      <c r="C50" s="4" t="s">
        <v>28</v>
      </c>
      <c r="D50" t="s">
        <v>277</v>
      </c>
      <c r="I50">
        <v>1</v>
      </c>
    </row>
    <row r="51" spans="1:9" x14ac:dyDescent="0.35">
      <c r="A51">
        <v>9</v>
      </c>
      <c r="B51" t="s">
        <v>147</v>
      </c>
      <c r="C51" s="4" t="s">
        <v>28</v>
      </c>
      <c r="D51" t="s">
        <v>278</v>
      </c>
      <c r="F51">
        <v>1</v>
      </c>
    </row>
    <row r="52" spans="1:9" x14ac:dyDescent="0.35">
      <c r="A52">
        <v>10</v>
      </c>
      <c r="B52" t="s">
        <v>147</v>
      </c>
      <c r="C52" s="4" t="s">
        <v>28</v>
      </c>
      <c r="D52" t="s">
        <v>279</v>
      </c>
      <c r="F52">
        <v>1</v>
      </c>
    </row>
    <row r="53" spans="1:9" x14ac:dyDescent="0.35">
      <c r="A53">
        <v>11</v>
      </c>
      <c r="B53" t="s">
        <v>147</v>
      </c>
      <c r="C53" s="4" t="s">
        <v>28</v>
      </c>
      <c r="D53" t="s">
        <v>280</v>
      </c>
      <c r="F53">
        <v>1</v>
      </c>
    </row>
    <row r="54" spans="1:9" x14ac:dyDescent="0.35">
      <c r="A54">
        <v>12</v>
      </c>
      <c r="B54" t="s">
        <v>147</v>
      </c>
      <c r="C54" s="4" t="s">
        <v>28</v>
      </c>
      <c r="D54" t="s">
        <v>281</v>
      </c>
      <c r="E54">
        <v>1</v>
      </c>
    </row>
    <row r="55" spans="1:9" x14ac:dyDescent="0.35">
      <c r="A55">
        <v>13</v>
      </c>
      <c r="B55" t="s">
        <v>147</v>
      </c>
      <c r="C55" s="4" t="s">
        <v>28</v>
      </c>
      <c r="D55" t="s">
        <v>282</v>
      </c>
      <c r="H55">
        <v>1</v>
      </c>
    </row>
    <row r="56" spans="1:9" x14ac:dyDescent="0.35">
      <c r="A56">
        <v>14</v>
      </c>
      <c r="B56" t="s">
        <v>147</v>
      </c>
      <c r="C56" s="4" t="s">
        <v>28</v>
      </c>
      <c r="D56" t="s">
        <v>283</v>
      </c>
      <c r="H56">
        <v>1</v>
      </c>
    </row>
    <row r="57" spans="1:9" x14ac:dyDescent="0.35">
      <c r="A57">
        <v>15</v>
      </c>
      <c r="B57" t="s">
        <v>147</v>
      </c>
      <c r="C57" s="4" t="s">
        <v>28</v>
      </c>
      <c r="D57" t="s">
        <v>284</v>
      </c>
      <c r="I57">
        <v>1</v>
      </c>
    </row>
    <row r="58" spans="1:9" x14ac:dyDescent="0.35">
      <c r="A58">
        <v>16</v>
      </c>
      <c r="B58" t="s">
        <v>147</v>
      </c>
      <c r="C58" s="4" t="s">
        <v>28</v>
      </c>
      <c r="D58" t="s">
        <v>285</v>
      </c>
      <c r="F58">
        <v>1</v>
      </c>
    </row>
    <row r="59" spans="1:9" x14ac:dyDescent="0.35">
      <c r="A59">
        <v>17</v>
      </c>
      <c r="B59" t="s">
        <v>147</v>
      </c>
      <c r="C59" s="4" t="s">
        <v>28</v>
      </c>
      <c r="D59" t="s">
        <v>286</v>
      </c>
      <c r="I59">
        <v>1</v>
      </c>
    </row>
    <row r="60" spans="1:9" x14ac:dyDescent="0.35">
      <c r="A60">
        <v>18</v>
      </c>
      <c r="B60" t="s">
        <v>147</v>
      </c>
      <c r="C60" s="4" t="s">
        <v>28</v>
      </c>
      <c r="D60" t="s">
        <v>287</v>
      </c>
      <c r="I60">
        <v>1</v>
      </c>
    </row>
    <row r="61" spans="1:9" x14ac:dyDescent="0.35">
      <c r="A61">
        <v>19</v>
      </c>
      <c r="B61" t="s">
        <v>147</v>
      </c>
      <c r="C61" s="4" t="s">
        <v>28</v>
      </c>
      <c r="D61" t="s">
        <v>288</v>
      </c>
      <c r="F61">
        <v>1</v>
      </c>
    </row>
    <row r="62" spans="1:9" x14ac:dyDescent="0.35">
      <c r="A62">
        <v>20</v>
      </c>
      <c r="B62" t="s">
        <v>147</v>
      </c>
      <c r="C62" s="4" t="s">
        <v>28</v>
      </c>
      <c r="D62" t="s">
        <v>289</v>
      </c>
      <c r="F62">
        <v>1</v>
      </c>
    </row>
    <row r="63" spans="1:9" x14ac:dyDescent="0.35">
      <c r="A63">
        <v>21</v>
      </c>
      <c r="B63" t="s">
        <v>147</v>
      </c>
      <c r="C63" s="4" t="s">
        <v>28</v>
      </c>
      <c r="D63" t="s">
        <v>290</v>
      </c>
      <c r="H63">
        <v>1</v>
      </c>
    </row>
    <row r="64" spans="1:9" x14ac:dyDescent="0.35">
      <c r="A64">
        <v>22</v>
      </c>
      <c r="B64" t="s">
        <v>147</v>
      </c>
      <c r="C64" s="4" t="s">
        <v>28</v>
      </c>
      <c r="D64" t="s">
        <v>291</v>
      </c>
      <c r="F64">
        <v>1</v>
      </c>
    </row>
    <row r="65" spans="1:10" x14ac:dyDescent="0.35">
      <c r="A65">
        <v>23</v>
      </c>
      <c r="B65" t="s">
        <v>147</v>
      </c>
      <c r="C65" s="4" t="s">
        <v>28</v>
      </c>
      <c r="D65" t="s">
        <v>292</v>
      </c>
      <c r="J65">
        <v>1</v>
      </c>
    </row>
    <row r="66" spans="1:10" x14ac:dyDescent="0.35">
      <c r="A66">
        <v>24</v>
      </c>
      <c r="B66" t="s">
        <v>147</v>
      </c>
      <c r="C66" s="4" t="s">
        <v>28</v>
      </c>
      <c r="D66" t="s">
        <v>293</v>
      </c>
      <c r="F66">
        <v>1</v>
      </c>
    </row>
    <row r="67" spans="1:10" x14ac:dyDescent="0.35">
      <c r="A67">
        <v>25</v>
      </c>
      <c r="B67" t="s">
        <v>147</v>
      </c>
      <c r="C67" s="4" t="s">
        <v>28</v>
      </c>
      <c r="D67" t="s">
        <v>294</v>
      </c>
      <c r="I67">
        <v>1</v>
      </c>
    </row>
    <row r="68" spans="1:10" x14ac:dyDescent="0.35">
      <c r="A68">
        <v>26</v>
      </c>
      <c r="B68" t="s">
        <v>147</v>
      </c>
      <c r="C68" s="4" t="s">
        <v>28</v>
      </c>
      <c r="D68" t="s">
        <v>295</v>
      </c>
      <c r="I68">
        <v>1</v>
      </c>
    </row>
    <row r="69" spans="1:10" x14ac:dyDescent="0.35">
      <c r="A69">
        <v>27</v>
      </c>
      <c r="B69" t="s">
        <v>147</v>
      </c>
      <c r="C69" s="4" t="s">
        <v>28</v>
      </c>
      <c r="D69" t="s">
        <v>296</v>
      </c>
      <c r="I69">
        <v>1</v>
      </c>
    </row>
    <row r="70" spans="1:10" x14ac:dyDescent="0.35">
      <c r="A70">
        <v>28</v>
      </c>
      <c r="B70" t="s">
        <v>147</v>
      </c>
      <c r="C70" s="4" t="s">
        <v>28</v>
      </c>
      <c r="D70" t="s">
        <v>297</v>
      </c>
      <c r="E70">
        <v>1</v>
      </c>
    </row>
    <row r="71" spans="1:10" x14ac:dyDescent="0.35">
      <c r="A71">
        <v>29</v>
      </c>
      <c r="B71" t="s">
        <v>147</v>
      </c>
      <c r="C71" s="4" t="s">
        <v>28</v>
      </c>
      <c r="D71" t="s">
        <v>298</v>
      </c>
      <c r="J71">
        <v>1</v>
      </c>
    </row>
    <row r="72" spans="1:10" x14ac:dyDescent="0.35">
      <c r="A72">
        <v>30</v>
      </c>
      <c r="B72" t="s">
        <v>147</v>
      </c>
      <c r="C72" s="4" t="s">
        <v>28</v>
      </c>
      <c r="D72" t="s">
        <v>299</v>
      </c>
      <c r="H72">
        <v>1</v>
      </c>
    </row>
    <row r="76" spans="1:10" x14ac:dyDescent="0.35">
      <c r="C76" s="5" t="s">
        <v>7</v>
      </c>
      <c r="D76" s="6">
        <f>COUNTIF(E43:E72,1)</f>
        <v>2</v>
      </c>
      <c r="E76" s="6">
        <f>COUNTIF(E43:E62,1)</f>
        <v>1</v>
      </c>
    </row>
    <row r="77" spans="1:10" x14ac:dyDescent="0.35">
      <c r="C77" s="5" t="s">
        <v>8</v>
      </c>
      <c r="D77" s="6">
        <f>COUNTIF(E43:E72,1) + COUNTIF(G43:G72,1)</f>
        <v>2</v>
      </c>
      <c r="E77" s="6">
        <f>COUNTIF(E43:E62,1) + COUNTIF(G43:G62,1)</f>
        <v>1</v>
      </c>
    </row>
    <row r="78" spans="1:10" x14ac:dyDescent="0.35">
      <c r="C78" s="5" t="s">
        <v>10</v>
      </c>
      <c r="D78" s="6">
        <f>COUNTIF(F43:F72,1) + COUNTIF(H43:H72,1) + COUNTIF(I43:I72,1) + COUNTIF(J43:J72,1)</f>
        <v>28</v>
      </c>
      <c r="E78" s="6">
        <f>COUNTIF(F43:F62,1) + COUNTIF(H43:H62,1) + COUNTIF(I43:I62,1) + COUNTIF(J43:J62,1)</f>
        <v>19</v>
      </c>
    </row>
    <row r="79" spans="1:10" x14ac:dyDescent="0.35">
      <c r="C79" s="5" t="s">
        <v>9</v>
      </c>
      <c r="D79" s="6">
        <f>COUNTIF(F43:F72,1) + COUNTIF(H43:H72,1)</f>
        <v>15</v>
      </c>
      <c r="E79" s="6">
        <f>COUNTIF(F43:F62,1) + COUNTIF(H43:H62,1)</f>
        <v>11</v>
      </c>
    </row>
    <row r="80" spans="1:10" x14ac:dyDescent="0.35">
      <c r="C80" s="5" t="s">
        <v>209</v>
      </c>
      <c r="D80" s="6">
        <f>COUNTIF(F43:F72,1) + COUNTIF(E43:E72,1) + COUNTIF(G43:G72,1) + COUNTIF(H43:H72,1) + COUNTIF(I43:I72,1) + COUNTIF(J43:J72,1)</f>
        <v>30</v>
      </c>
      <c r="E80" s="6">
        <f>COUNTIF(E43:E62,1) + COUNTIF(F43:F62,1) + COUNTIF(G43:G62,1) + COUNTIF(H43:H62,1) + COUNTIF(K43:K62,1) + COUNTIF(J43:J62,1) + COUNTIF(I43:I62,1)</f>
        <v>20</v>
      </c>
    </row>
  </sheetData>
  <phoneticPr fontId="1" type="noConversion"/>
  <conditionalFormatting sqref="E3:E33">
    <cfRule type="cellIs" dxfId="71" priority="7" operator="between">
      <formula>1</formula>
      <formula>1</formula>
    </cfRule>
  </conditionalFormatting>
  <conditionalFormatting sqref="E43:E73">
    <cfRule type="cellIs" dxfId="70" priority="4" operator="between">
      <formula>1</formula>
      <formula>1</formula>
    </cfRule>
  </conditionalFormatting>
  <conditionalFormatting sqref="F3:F33">
    <cfRule type="cellIs" dxfId="69" priority="5" operator="between">
      <formula>1</formula>
      <formula>1</formula>
    </cfRule>
  </conditionalFormatting>
  <conditionalFormatting sqref="F43:F73">
    <cfRule type="cellIs" dxfId="68" priority="3" operator="between">
      <formula>1</formula>
      <formula>1</formula>
    </cfRule>
  </conditionalFormatting>
  <conditionalFormatting sqref="G3:G33">
    <cfRule type="cellIs" dxfId="67" priority="8" operator="between">
      <formula>1</formula>
      <formula>2</formula>
    </cfRule>
  </conditionalFormatting>
  <conditionalFormatting sqref="G43:G73">
    <cfRule type="cellIs" dxfId="66" priority="2" operator="between">
      <formula>1</formula>
      <formula>1</formula>
    </cfRule>
  </conditionalFormatting>
  <conditionalFormatting sqref="H3:J33">
    <cfRule type="cellIs" dxfId="65" priority="6" operator="between">
      <formula>1</formula>
      <formula>1</formula>
    </cfRule>
  </conditionalFormatting>
  <conditionalFormatting sqref="H43:J73">
    <cfRule type="cellIs" dxfId="64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190D-DC64-4B4C-B2B0-7E494A63B914}">
  <dimension ref="A2:J80"/>
  <sheetViews>
    <sheetView topLeftCell="A70" zoomScale="88" zoomScaleNormal="88" workbookViewId="0">
      <selection activeCell="E76" sqref="E76: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327</v>
      </c>
      <c r="C3" s="2" t="s">
        <v>11</v>
      </c>
      <c r="D3" t="s">
        <v>328</v>
      </c>
      <c r="I3">
        <v>1</v>
      </c>
    </row>
    <row r="4" spans="1:10" x14ac:dyDescent="0.35">
      <c r="A4">
        <v>2</v>
      </c>
      <c r="B4" t="s">
        <v>327</v>
      </c>
      <c r="C4" s="2" t="s">
        <v>11</v>
      </c>
      <c r="D4" t="s">
        <v>329</v>
      </c>
      <c r="I4">
        <v>1</v>
      </c>
    </row>
    <row r="5" spans="1:10" x14ac:dyDescent="0.35">
      <c r="A5">
        <v>3</v>
      </c>
      <c r="B5" t="s">
        <v>327</v>
      </c>
      <c r="C5" s="2" t="s">
        <v>11</v>
      </c>
      <c r="D5" t="s">
        <v>330</v>
      </c>
      <c r="I5">
        <v>1</v>
      </c>
    </row>
    <row r="6" spans="1:10" x14ac:dyDescent="0.35">
      <c r="A6">
        <v>4</v>
      </c>
      <c r="B6" t="s">
        <v>327</v>
      </c>
      <c r="C6" s="2" t="s">
        <v>11</v>
      </c>
      <c r="D6" t="s">
        <v>331</v>
      </c>
      <c r="I6">
        <v>1</v>
      </c>
    </row>
    <row r="7" spans="1:10" x14ac:dyDescent="0.35">
      <c r="A7">
        <v>5</v>
      </c>
      <c r="B7" t="s">
        <v>327</v>
      </c>
      <c r="C7" s="2" t="s">
        <v>11</v>
      </c>
      <c r="D7" t="s">
        <v>332</v>
      </c>
      <c r="I7">
        <v>1</v>
      </c>
    </row>
    <row r="8" spans="1:10" x14ac:dyDescent="0.35">
      <c r="A8">
        <v>6</v>
      </c>
      <c r="B8" t="s">
        <v>327</v>
      </c>
      <c r="C8" s="2" t="s">
        <v>11</v>
      </c>
      <c r="D8" t="s">
        <v>333</v>
      </c>
      <c r="H8">
        <v>1</v>
      </c>
    </row>
    <row r="9" spans="1:10" x14ac:dyDescent="0.35">
      <c r="A9">
        <v>7</v>
      </c>
      <c r="B9" t="s">
        <v>327</v>
      </c>
      <c r="C9" s="2" t="s">
        <v>11</v>
      </c>
      <c r="D9" t="s">
        <v>334</v>
      </c>
      <c r="I9">
        <v>1</v>
      </c>
    </row>
    <row r="10" spans="1:10" x14ac:dyDescent="0.35">
      <c r="A10">
        <v>8</v>
      </c>
      <c r="B10" t="s">
        <v>327</v>
      </c>
      <c r="C10" s="2" t="s">
        <v>11</v>
      </c>
      <c r="D10" t="s">
        <v>335</v>
      </c>
      <c r="G10">
        <v>1</v>
      </c>
    </row>
    <row r="11" spans="1:10" x14ac:dyDescent="0.35">
      <c r="A11">
        <v>9</v>
      </c>
      <c r="B11" t="s">
        <v>327</v>
      </c>
      <c r="C11" s="2" t="s">
        <v>11</v>
      </c>
      <c r="D11" t="s">
        <v>336</v>
      </c>
      <c r="H11">
        <v>1</v>
      </c>
    </row>
    <row r="12" spans="1:10" x14ac:dyDescent="0.35">
      <c r="A12">
        <v>10</v>
      </c>
      <c r="B12" t="s">
        <v>327</v>
      </c>
      <c r="C12" s="2" t="s">
        <v>11</v>
      </c>
      <c r="D12" t="s">
        <v>337</v>
      </c>
      <c r="I12">
        <v>1</v>
      </c>
    </row>
    <row r="13" spans="1:10" x14ac:dyDescent="0.35">
      <c r="A13">
        <v>11</v>
      </c>
      <c r="B13" t="s">
        <v>327</v>
      </c>
      <c r="C13" s="2" t="s">
        <v>11</v>
      </c>
      <c r="D13" t="s">
        <v>338</v>
      </c>
      <c r="I13">
        <v>1</v>
      </c>
    </row>
    <row r="14" spans="1:10" x14ac:dyDescent="0.35">
      <c r="A14">
        <v>12</v>
      </c>
      <c r="B14" t="s">
        <v>327</v>
      </c>
      <c r="C14" s="2" t="s">
        <v>11</v>
      </c>
      <c r="D14" t="s">
        <v>339</v>
      </c>
      <c r="I14">
        <v>1</v>
      </c>
    </row>
    <row r="15" spans="1:10" x14ac:dyDescent="0.35">
      <c r="A15">
        <v>13</v>
      </c>
      <c r="B15" t="s">
        <v>327</v>
      </c>
      <c r="C15" s="2" t="s">
        <v>11</v>
      </c>
      <c r="D15" t="s">
        <v>340</v>
      </c>
      <c r="I15">
        <v>1</v>
      </c>
    </row>
    <row r="16" spans="1:10" x14ac:dyDescent="0.35">
      <c r="A16">
        <v>14</v>
      </c>
      <c r="B16" t="s">
        <v>327</v>
      </c>
      <c r="C16" s="2" t="s">
        <v>11</v>
      </c>
      <c r="D16" t="s">
        <v>341</v>
      </c>
      <c r="I16">
        <v>1</v>
      </c>
    </row>
    <row r="17" spans="1:9" x14ac:dyDescent="0.35">
      <c r="A17">
        <v>15</v>
      </c>
      <c r="B17" t="s">
        <v>327</v>
      </c>
      <c r="C17" s="2" t="s">
        <v>11</v>
      </c>
      <c r="D17" t="s">
        <v>342</v>
      </c>
      <c r="I17">
        <v>1</v>
      </c>
    </row>
    <row r="18" spans="1:9" x14ac:dyDescent="0.35">
      <c r="A18">
        <v>16</v>
      </c>
      <c r="B18" t="s">
        <v>327</v>
      </c>
      <c r="C18" s="2" t="s">
        <v>11</v>
      </c>
    </row>
    <row r="19" spans="1:9" x14ac:dyDescent="0.35">
      <c r="A19">
        <v>17</v>
      </c>
      <c r="B19" t="s">
        <v>327</v>
      </c>
      <c r="C19" s="2" t="s">
        <v>11</v>
      </c>
    </row>
    <row r="20" spans="1:9" x14ac:dyDescent="0.35">
      <c r="A20">
        <v>18</v>
      </c>
      <c r="B20" t="s">
        <v>327</v>
      </c>
      <c r="C20" s="2" t="s">
        <v>11</v>
      </c>
    </row>
    <row r="21" spans="1:9" x14ac:dyDescent="0.35">
      <c r="A21">
        <v>19</v>
      </c>
      <c r="B21" t="s">
        <v>327</v>
      </c>
      <c r="C21" s="2" t="s">
        <v>11</v>
      </c>
    </row>
    <row r="22" spans="1:9" x14ac:dyDescent="0.35">
      <c r="A22">
        <v>20</v>
      </c>
      <c r="B22" t="s">
        <v>327</v>
      </c>
      <c r="C22" s="2" t="s">
        <v>11</v>
      </c>
    </row>
    <row r="23" spans="1:9" x14ac:dyDescent="0.35">
      <c r="A23">
        <v>21</v>
      </c>
      <c r="B23" t="s">
        <v>327</v>
      </c>
      <c r="C23" s="2" t="s">
        <v>11</v>
      </c>
    </row>
    <row r="24" spans="1:9" x14ac:dyDescent="0.35">
      <c r="A24">
        <v>22</v>
      </c>
      <c r="B24" t="s">
        <v>327</v>
      </c>
      <c r="C24" s="2" t="s">
        <v>11</v>
      </c>
    </row>
    <row r="25" spans="1:9" x14ac:dyDescent="0.35">
      <c r="A25">
        <v>23</v>
      </c>
      <c r="B25" t="s">
        <v>327</v>
      </c>
      <c r="C25" s="2" t="s">
        <v>11</v>
      </c>
    </row>
    <row r="26" spans="1:9" x14ac:dyDescent="0.35">
      <c r="A26">
        <v>24</v>
      </c>
      <c r="B26" t="s">
        <v>327</v>
      </c>
      <c r="C26" s="2" t="s">
        <v>11</v>
      </c>
    </row>
    <row r="27" spans="1:9" x14ac:dyDescent="0.35">
      <c r="A27">
        <v>25</v>
      </c>
      <c r="B27" t="s">
        <v>327</v>
      </c>
      <c r="C27" s="2" t="s">
        <v>11</v>
      </c>
    </row>
    <row r="28" spans="1:9" x14ac:dyDescent="0.35">
      <c r="A28">
        <v>26</v>
      </c>
      <c r="B28" t="s">
        <v>327</v>
      </c>
      <c r="C28" s="2" t="s">
        <v>11</v>
      </c>
    </row>
    <row r="29" spans="1:9" x14ac:dyDescent="0.35">
      <c r="A29">
        <v>27</v>
      </c>
      <c r="B29" t="s">
        <v>327</v>
      </c>
      <c r="C29" s="2" t="s">
        <v>11</v>
      </c>
    </row>
    <row r="30" spans="1:9" x14ac:dyDescent="0.35">
      <c r="A30">
        <v>28</v>
      </c>
      <c r="B30" t="s">
        <v>327</v>
      </c>
      <c r="C30" s="2" t="s">
        <v>11</v>
      </c>
    </row>
    <row r="31" spans="1:9" x14ac:dyDescent="0.35">
      <c r="A31">
        <v>29</v>
      </c>
      <c r="B31" t="s">
        <v>327</v>
      </c>
      <c r="C31" s="2" t="s">
        <v>11</v>
      </c>
    </row>
    <row r="32" spans="1:9" x14ac:dyDescent="0.35">
      <c r="A32">
        <v>30</v>
      </c>
      <c r="B32" t="s">
        <v>327</v>
      </c>
      <c r="C32" s="2" t="s">
        <v>11</v>
      </c>
    </row>
    <row r="33" spans="1:10" x14ac:dyDescent="0.35">
      <c r="A33">
        <v>31</v>
      </c>
      <c r="B33" t="s">
        <v>327</v>
      </c>
      <c r="C33" s="2" t="s">
        <v>11</v>
      </c>
    </row>
    <row r="36" spans="1:10" x14ac:dyDescent="0.35">
      <c r="C36" s="5" t="s">
        <v>7</v>
      </c>
      <c r="D36" s="6">
        <f>COUNTIF(E3:E33,1)</f>
        <v>0</v>
      </c>
      <c r="E36" s="6">
        <f>COUNTIF(E3:E22,1)</f>
        <v>0</v>
      </c>
    </row>
    <row r="37" spans="1:10" x14ac:dyDescent="0.35">
      <c r="C37" s="5" t="s">
        <v>8</v>
      </c>
      <c r="D37" s="6">
        <f>COUNTIF(E3:E33,1) + COUNTIF(G3:G33,1)</f>
        <v>1</v>
      </c>
      <c r="E37" s="6">
        <f>COUNTIF(E3:E22,1) + COUNTIF(G3:G22,1)</f>
        <v>1</v>
      </c>
    </row>
    <row r="38" spans="1:10" x14ac:dyDescent="0.35">
      <c r="C38" s="5" t="s">
        <v>10</v>
      </c>
      <c r="D38" s="6">
        <f>COUNTIF(F3:F33,1) + COUNTIF(H3:H33,1) + COUNTIF(I3:I33,1) + COUNTIF(J3:J33,1)</f>
        <v>14</v>
      </c>
      <c r="E38" s="6">
        <f>COUNTIF(F3:F22,1) + COUNTIF(H3:H22,1) + COUNTIF(I3:I22,1) + COUNTIF(J3:J22,1)</f>
        <v>14</v>
      </c>
    </row>
    <row r="39" spans="1:10" x14ac:dyDescent="0.35">
      <c r="C39" s="5" t="s">
        <v>9</v>
      </c>
      <c r="D39" s="6">
        <f>COUNTIF(F3:F33,1) + COUNTIF(H3:H33,1)</f>
        <v>2</v>
      </c>
      <c r="E39" s="6">
        <f>COUNTIF(F3:F22,1) + COUNTIF(H3:H22,1)</f>
        <v>2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15</v>
      </c>
      <c r="E40" s="6">
        <f>COUNTIF(E3:E22,1) + COUNTIF(F3:F22,1) + COUNTIF(G3:G22,1) + COUNTIF(H3:H22,1) + COUNTIF(K3:K22,1) + COUNTIF(J3:J22,1) + COUNTIF(I3:I22,1)</f>
        <v>15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327</v>
      </c>
      <c r="C43" s="4" t="s">
        <v>28</v>
      </c>
      <c r="D43" t="s">
        <v>343</v>
      </c>
      <c r="I43">
        <v>1</v>
      </c>
    </row>
    <row r="44" spans="1:10" x14ac:dyDescent="0.35">
      <c r="A44">
        <v>2</v>
      </c>
      <c r="B44" t="s">
        <v>327</v>
      </c>
      <c r="C44" s="4" t="s">
        <v>28</v>
      </c>
      <c r="D44" t="s">
        <v>344</v>
      </c>
      <c r="I44">
        <v>1</v>
      </c>
    </row>
    <row r="45" spans="1:10" x14ac:dyDescent="0.35">
      <c r="A45">
        <v>3</v>
      </c>
      <c r="B45" t="s">
        <v>327</v>
      </c>
      <c r="C45" s="4" t="s">
        <v>28</v>
      </c>
      <c r="D45" t="s">
        <v>345</v>
      </c>
      <c r="I45">
        <v>1</v>
      </c>
    </row>
    <row r="46" spans="1:10" x14ac:dyDescent="0.35">
      <c r="A46">
        <v>4</v>
      </c>
      <c r="B46" t="s">
        <v>327</v>
      </c>
      <c r="C46" s="4" t="s">
        <v>28</v>
      </c>
      <c r="D46" t="s">
        <v>346</v>
      </c>
      <c r="I46">
        <v>1</v>
      </c>
    </row>
    <row r="47" spans="1:10" x14ac:dyDescent="0.35">
      <c r="A47">
        <v>5</v>
      </c>
      <c r="B47" t="s">
        <v>327</v>
      </c>
      <c r="C47" s="4" t="s">
        <v>28</v>
      </c>
      <c r="D47" t="s">
        <v>347</v>
      </c>
      <c r="I47">
        <v>1</v>
      </c>
    </row>
    <row r="48" spans="1:10" x14ac:dyDescent="0.35">
      <c r="A48">
        <v>6</v>
      </c>
      <c r="B48" t="s">
        <v>327</v>
      </c>
      <c r="C48" s="4" t="s">
        <v>28</v>
      </c>
      <c r="D48" t="s">
        <v>348</v>
      </c>
      <c r="I48">
        <v>1</v>
      </c>
    </row>
    <row r="49" spans="1:9" x14ac:dyDescent="0.35">
      <c r="A49">
        <v>7</v>
      </c>
      <c r="B49" t="s">
        <v>327</v>
      </c>
      <c r="C49" s="4" t="s">
        <v>28</v>
      </c>
      <c r="D49" t="s">
        <v>349</v>
      </c>
      <c r="I49">
        <v>1</v>
      </c>
    </row>
    <row r="50" spans="1:9" x14ac:dyDescent="0.35">
      <c r="A50">
        <v>8</v>
      </c>
      <c r="B50" t="s">
        <v>327</v>
      </c>
      <c r="C50" s="4" t="s">
        <v>28</v>
      </c>
    </row>
    <row r="51" spans="1:9" x14ac:dyDescent="0.35">
      <c r="A51">
        <v>9</v>
      </c>
      <c r="B51" t="s">
        <v>327</v>
      </c>
      <c r="C51" s="4" t="s">
        <v>28</v>
      </c>
    </row>
    <row r="52" spans="1:9" x14ac:dyDescent="0.35">
      <c r="A52">
        <v>10</v>
      </c>
      <c r="B52" t="s">
        <v>327</v>
      </c>
      <c r="C52" s="4" t="s">
        <v>28</v>
      </c>
    </row>
    <row r="53" spans="1:9" x14ac:dyDescent="0.35">
      <c r="A53">
        <v>11</v>
      </c>
      <c r="B53" t="s">
        <v>327</v>
      </c>
      <c r="C53" s="4" t="s">
        <v>28</v>
      </c>
    </row>
    <row r="54" spans="1:9" x14ac:dyDescent="0.35">
      <c r="A54">
        <v>12</v>
      </c>
      <c r="B54" t="s">
        <v>327</v>
      </c>
      <c r="C54" s="4" t="s">
        <v>28</v>
      </c>
    </row>
    <row r="55" spans="1:9" x14ac:dyDescent="0.35">
      <c r="A55">
        <v>13</v>
      </c>
      <c r="B55" t="s">
        <v>327</v>
      </c>
      <c r="C55" s="4" t="s">
        <v>28</v>
      </c>
    </row>
    <row r="56" spans="1:9" x14ac:dyDescent="0.35">
      <c r="A56">
        <v>14</v>
      </c>
      <c r="B56" t="s">
        <v>327</v>
      </c>
      <c r="C56" s="4" t="s">
        <v>28</v>
      </c>
    </row>
    <row r="57" spans="1:9" x14ac:dyDescent="0.35">
      <c r="A57">
        <v>15</v>
      </c>
      <c r="B57" t="s">
        <v>327</v>
      </c>
      <c r="C57" s="4" t="s">
        <v>28</v>
      </c>
    </row>
    <row r="58" spans="1:9" x14ac:dyDescent="0.35">
      <c r="A58">
        <v>16</v>
      </c>
      <c r="B58" t="s">
        <v>327</v>
      </c>
      <c r="C58" s="4" t="s">
        <v>28</v>
      </c>
    </row>
    <row r="59" spans="1:9" x14ac:dyDescent="0.35">
      <c r="A59">
        <v>17</v>
      </c>
      <c r="B59" t="s">
        <v>327</v>
      </c>
      <c r="C59" s="4" t="s">
        <v>28</v>
      </c>
    </row>
    <row r="60" spans="1:9" x14ac:dyDescent="0.35">
      <c r="A60">
        <v>18</v>
      </c>
      <c r="B60" t="s">
        <v>327</v>
      </c>
      <c r="C60" s="4" t="s">
        <v>28</v>
      </c>
    </row>
    <row r="61" spans="1:9" x14ac:dyDescent="0.35">
      <c r="A61">
        <v>19</v>
      </c>
      <c r="B61" t="s">
        <v>327</v>
      </c>
      <c r="C61" s="4" t="s">
        <v>28</v>
      </c>
    </row>
    <row r="62" spans="1:9" x14ac:dyDescent="0.35">
      <c r="A62">
        <v>20</v>
      </c>
      <c r="B62" t="s">
        <v>327</v>
      </c>
      <c r="C62" s="4" t="s">
        <v>28</v>
      </c>
    </row>
    <row r="63" spans="1:9" x14ac:dyDescent="0.35">
      <c r="A63">
        <v>21</v>
      </c>
      <c r="B63" t="s">
        <v>327</v>
      </c>
      <c r="C63" s="4" t="s">
        <v>28</v>
      </c>
    </row>
    <row r="64" spans="1:9" x14ac:dyDescent="0.35">
      <c r="A64">
        <v>22</v>
      </c>
      <c r="B64" t="s">
        <v>327</v>
      </c>
      <c r="C64" s="4" t="s">
        <v>28</v>
      </c>
    </row>
    <row r="65" spans="1:5" x14ac:dyDescent="0.35">
      <c r="A65">
        <v>23</v>
      </c>
      <c r="B65" t="s">
        <v>327</v>
      </c>
      <c r="C65" s="4" t="s">
        <v>28</v>
      </c>
    </row>
    <row r="66" spans="1:5" x14ac:dyDescent="0.35">
      <c r="A66">
        <v>24</v>
      </c>
      <c r="B66" t="s">
        <v>327</v>
      </c>
      <c r="C66" s="4" t="s">
        <v>28</v>
      </c>
    </row>
    <row r="67" spans="1:5" x14ac:dyDescent="0.35">
      <c r="A67">
        <v>25</v>
      </c>
      <c r="B67" t="s">
        <v>327</v>
      </c>
      <c r="C67" s="4" t="s">
        <v>28</v>
      </c>
    </row>
    <row r="68" spans="1:5" x14ac:dyDescent="0.35">
      <c r="A68">
        <v>26</v>
      </c>
      <c r="B68" t="s">
        <v>327</v>
      </c>
      <c r="C68" s="4" t="s">
        <v>28</v>
      </c>
    </row>
    <row r="69" spans="1:5" x14ac:dyDescent="0.35">
      <c r="A69">
        <v>27</v>
      </c>
      <c r="B69" t="s">
        <v>327</v>
      </c>
      <c r="C69" s="4" t="s">
        <v>28</v>
      </c>
    </row>
    <row r="70" spans="1:5" x14ac:dyDescent="0.35">
      <c r="A70">
        <v>28</v>
      </c>
      <c r="B70" t="s">
        <v>327</v>
      </c>
      <c r="C70" s="4" t="s">
        <v>28</v>
      </c>
    </row>
    <row r="71" spans="1:5" x14ac:dyDescent="0.35">
      <c r="A71">
        <v>29</v>
      </c>
      <c r="B71" t="s">
        <v>327</v>
      </c>
      <c r="C71" s="4" t="s">
        <v>28</v>
      </c>
    </row>
    <row r="72" spans="1:5" x14ac:dyDescent="0.35">
      <c r="A72">
        <v>30</v>
      </c>
      <c r="B72" t="s">
        <v>327</v>
      </c>
      <c r="C72" s="4" t="s">
        <v>28</v>
      </c>
    </row>
    <row r="76" spans="1:5" x14ac:dyDescent="0.35">
      <c r="C76" s="5" t="s">
        <v>7</v>
      </c>
      <c r="D76" s="6">
        <f>COUNTIF(E43:E72,1)</f>
        <v>0</v>
      </c>
      <c r="E76" s="6">
        <f>COUNTIF(E43:E62,1)</f>
        <v>0</v>
      </c>
    </row>
    <row r="77" spans="1:5" x14ac:dyDescent="0.35">
      <c r="C77" s="5" t="s">
        <v>8</v>
      </c>
      <c r="D77" s="6">
        <f>COUNTIF(E43:E72,1) + COUNTIF(G43:G72,1)</f>
        <v>0</v>
      </c>
      <c r="E77" s="6">
        <f>COUNTIF(E43:E62,1) + COUNTIF(G43:G62,1)</f>
        <v>0</v>
      </c>
    </row>
    <row r="78" spans="1:5" x14ac:dyDescent="0.35">
      <c r="C78" s="5" t="s">
        <v>10</v>
      </c>
      <c r="D78" s="6">
        <f>COUNTIF(F43:F72,1) + COUNTIF(H43:H72,1) + COUNTIF(I43:I72,1) + COUNTIF(J43:J72,1)</f>
        <v>7</v>
      </c>
      <c r="E78" s="6">
        <f>COUNTIF(F43:F62,1) + COUNTIF(H43:H62,1) + COUNTIF(I43:I62,1) + COUNTIF(J43:J62,1)</f>
        <v>7</v>
      </c>
    </row>
    <row r="79" spans="1:5" x14ac:dyDescent="0.35">
      <c r="C79" s="5" t="s">
        <v>9</v>
      </c>
      <c r="D79" s="6">
        <f>COUNTIF(F43:F72,1) + COUNTIF(H43:H72,1)</f>
        <v>0</v>
      </c>
      <c r="E79" s="6">
        <f>COUNTIF(F43:F62,1) + COUNTIF(H43:H62,1)</f>
        <v>0</v>
      </c>
    </row>
    <row r="80" spans="1:5" x14ac:dyDescent="0.35">
      <c r="C80" s="5" t="s">
        <v>209</v>
      </c>
      <c r="D80" s="6">
        <f>COUNTIF(F43:F72,1) + COUNTIF(E43:E72,1) + COUNTIF(G43:G72,1) + COUNTIF(H43:H72,1) + COUNTIF(I43:I72,1) + COUNTIF(J43:J72,1)</f>
        <v>7</v>
      </c>
      <c r="E80" s="6">
        <f>COUNTIF(E43:E62,1) + COUNTIF(F43:F62,1) + COUNTIF(G43:G62,1) + COUNTIF(H43:H62,1) + COUNTIF(K43:K62,1) + COUNTIF(J43:J62,1) + COUNTIF(I43:I62,1)</f>
        <v>7</v>
      </c>
    </row>
  </sheetData>
  <phoneticPr fontId="1" type="noConversion"/>
  <conditionalFormatting sqref="E3:E33">
    <cfRule type="cellIs" dxfId="63" priority="7" operator="between">
      <formula>1</formula>
      <formula>1</formula>
    </cfRule>
  </conditionalFormatting>
  <conditionalFormatting sqref="E43:E73">
    <cfRule type="cellIs" dxfId="62" priority="4" operator="between">
      <formula>1</formula>
      <formula>1</formula>
    </cfRule>
  </conditionalFormatting>
  <conditionalFormatting sqref="F3:F33">
    <cfRule type="cellIs" dxfId="61" priority="5" operator="between">
      <formula>1</formula>
      <formula>1</formula>
    </cfRule>
  </conditionalFormatting>
  <conditionalFormatting sqref="F43:F73">
    <cfRule type="cellIs" dxfId="60" priority="3" operator="between">
      <formula>1</formula>
      <formula>1</formula>
    </cfRule>
  </conditionalFormatting>
  <conditionalFormatting sqref="G3:G33">
    <cfRule type="cellIs" dxfId="59" priority="8" operator="between">
      <formula>1</formula>
      <formula>2</formula>
    </cfRule>
  </conditionalFormatting>
  <conditionalFormatting sqref="G43:G73">
    <cfRule type="cellIs" dxfId="58" priority="2" operator="between">
      <formula>1</formula>
      <formula>1</formula>
    </cfRule>
  </conditionalFormatting>
  <conditionalFormatting sqref="H3:J33">
    <cfRule type="cellIs" dxfId="57" priority="6" operator="between">
      <formula>1</formula>
      <formula>1</formula>
    </cfRule>
  </conditionalFormatting>
  <conditionalFormatting sqref="H43:J73">
    <cfRule type="cellIs" dxfId="56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A10E-AF09-42D2-8718-C02B6E9343B1}">
  <dimension ref="A2:J80"/>
  <sheetViews>
    <sheetView topLeftCell="A76" zoomScale="88" zoomScaleNormal="88" workbookViewId="0">
      <selection activeCell="E76" sqref="E76: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350</v>
      </c>
      <c r="C3" s="2" t="s">
        <v>11</v>
      </c>
      <c r="D3" t="s">
        <v>351</v>
      </c>
      <c r="I3">
        <v>1</v>
      </c>
    </row>
    <row r="4" spans="1:10" x14ac:dyDescent="0.35">
      <c r="A4">
        <v>2</v>
      </c>
      <c r="B4" t="s">
        <v>350</v>
      </c>
      <c r="C4" s="2" t="s">
        <v>11</v>
      </c>
      <c r="D4" t="s">
        <v>352</v>
      </c>
      <c r="I4">
        <v>1</v>
      </c>
    </row>
    <row r="5" spans="1:10" x14ac:dyDescent="0.35">
      <c r="A5">
        <v>3</v>
      </c>
      <c r="B5" t="s">
        <v>350</v>
      </c>
      <c r="C5" s="2" t="s">
        <v>11</v>
      </c>
      <c r="D5" t="s">
        <v>353</v>
      </c>
      <c r="G5">
        <v>1</v>
      </c>
    </row>
    <row r="6" spans="1:10" x14ac:dyDescent="0.35">
      <c r="A6">
        <v>4</v>
      </c>
      <c r="B6" t="s">
        <v>350</v>
      </c>
      <c r="C6" s="2" t="s">
        <v>11</v>
      </c>
      <c r="D6" t="s">
        <v>354</v>
      </c>
      <c r="G6">
        <v>1</v>
      </c>
    </row>
    <row r="7" spans="1:10" x14ac:dyDescent="0.35">
      <c r="A7">
        <v>5</v>
      </c>
      <c r="B7" t="s">
        <v>350</v>
      </c>
      <c r="C7" s="2" t="s">
        <v>11</v>
      </c>
      <c r="D7" t="s">
        <v>355</v>
      </c>
      <c r="G7">
        <v>1</v>
      </c>
    </row>
    <row r="8" spans="1:10" x14ac:dyDescent="0.35">
      <c r="A8">
        <v>6</v>
      </c>
      <c r="B8" t="s">
        <v>350</v>
      </c>
      <c r="C8" s="2" t="s">
        <v>11</v>
      </c>
      <c r="D8" t="s">
        <v>380</v>
      </c>
      <c r="G8">
        <v>1</v>
      </c>
    </row>
    <row r="9" spans="1:10" x14ac:dyDescent="0.35">
      <c r="A9">
        <v>7</v>
      </c>
      <c r="B9" t="s">
        <v>350</v>
      </c>
      <c r="C9" s="2" t="s">
        <v>11</v>
      </c>
      <c r="D9" t="s">
        <v>356</v>
      </c>
      <c r="G9">
        <v>1</v>
      </c>
    </row>
    <row r="10" spans="1:10" x14ac:dyDescent="0.35">
      <c r="A10">
        <v>8</v>
      </c>
      <c r="B10" t="s">
        <v>350</v>
      </c>
      <c r="C10" s="2" t="s">
        <v>11</v>
      </c>
      <c r="D10" t="s">
        <v>357</v>
      </c>
      <c r="I10">
        <v>1</v>
      </c>
    </row>
    <row r="11" spans="1:10" x14ac:dyDescent="0.35">
      <c r="A11">
        <v>9</v>
      </c>
      <c r="B11" t="s">
        <v>350</v>
      </c>
      <c r="C11" s="2" t="s">
        <v>11</v>
      </c>
      <c r="D11" t="s">
        <v>358</v>
      </c>
      <c r="I11">
        <v>1</v>
      </c>
    </row>
    <row r="12" spans="1:10" x14ac:dyDescent="0.35">
      <c r="A12">
        <v>10</v>
      </c>
      <c r="B12" t="s">
        <v>350</v>
      </c>
      <c r="C12" s="2" t="s">
        <v>11</v>
      </c>
      <c r="D12" t="s">
        <v>359</v>
      </c>
      <c r="I12">
        <v>1</v>
      </c>
    </row>
    <row r="13" spans="1:10" x14ac:dyDescent="0.35">
      <c r="A13">
        <v>11</v>
      </c>
      <c r="B13" t="s">
        <v>350</v>
      </c>
      <c r="C13" s="2" t="s">
        <v>11</v>
      </c>
      <c r="D13" t="s">
        <v>360</v>
      </c>
      <c r="I13">
        <v>1</v>
      </c>
    </row>
    <row r="14" spans="1:10" x14ac:dyDescent="0.35">
      <c r="A14">
        <v>12</v>
      </c>
      <c r="B14" t="s">
        <v>350</v>
      </c>
      <c r="C14" s="2" t="s">
        <v>11</v>
      </c>
      <c r="D14" t="s">
        <v>361</v>
      </c>
      <c r="G14">
        <v>1</v>
      </c>
    </row>
    <row r="15" spans="1:10" x14ac:dyDescent="0.35">
      <c r="A15">
        <v>13</v>
      </c>
      <c r="B15" t="s">
        <v>350</v>
      </c>
      <c r="C15" s="2" t="s">
        <v>11</v>
      </c>
      <c r="D15" t="s">
        <v>362</v>
      </c>
      <c r="I15">
        <v>1</v>
      </c>
    </row>
    <row r="16" spans="1:10" x14ac:dyDescent="0.35">
      <c r="A16">
        <v>14</v>
      </c>
      <c r="B16" t="s">
        <v>350</v>
      </c>
      <c r="C16" s="2" t="s">
        <v>11</v>
      </c>
      <c r="D16" t="s">
        <v>363</v>
      </c>
      <c r="I16">
        <v>1</v>
      </c>
    </row>
    <row r="17" spans="1:9" x14ac:dyDescent="0.35">
      <c r="A17">
        <v>15</v>
      </c>
      <c r="B17" t="s">
        <v>350</v>
      </c>
      <c r="C17" s="2" t="s">
        <v>11</v>
      </c>
      <c r="D17" t="s">
        <v>364</v>
      </c>
      <c r="F17">
        <v>1</v>
      </c>
    </row>
    <row r="18" spans="1:9" x14ac:dyDescent="0.35">
      <c r="A18">
        <v>16</v>
      </c>
      <c r="B18" t="s">
        <v>350</v>
      </c>
      <c r="C18" s="2" t="s">
        <v>11</v>
      </c>
      <c r="D18" t="s">
        <v>365</v>
      </c>
      <c r="I18">
        <v>1</v>
      </c>
    </row>
    <row r="19" spans="1:9" x14ac:dyDescent="0.35">
      <c r="A19">
        <v>17</v>
      </c>
      <c r="B19" t="s">
        <v>350</v>
      </c>
      <c r="C19" s="2" t="s">
        <v>11</v>
      </c>
      <c r="D19" t="s">
        <v>366</v>
      </c>
      <c r="I19">
        <v>1</v>
      </c>
    </row>
    <row r="20" spans="1:9" x14ac:dyDescent="0.35">
      <c r="A20">
        <v>18</v>
      </c>
      <c r="B20" t="s">
        <v>350</v>
      </c>
      <c r="C20" s="2" t="s">
        <v>11</v>
      </c>
      <c r="D20" t="s">
        <v>367</v>
      </c>
      <c r="I20">
        <v>1</v>
      </c>
    </row>
    <row r="21" spans="1:9" x14ac:dyDescent="0.35">
      <c r="A21">
        <v>19</v>
      </c>
      <c r="B21" t="s">
        <v>350</v>
      </c>
      <c r="C21" s="2" t="s">
        <v>11</v>
      </c>
      <c r="D21" t="s">
        <v>368</v>
      </c>
      <c r="I21">
        <v>1</v>
      </c>
    </row>
    <row r="22" spans="1:9" x14ac:dyDescent="0.35">
      <c r="A22">
        <v>20</v>
      </c>
      <c r="B22" t="s">
        <v>350</v>
      </c>
      <c r="C22" s="2" t="s">
        <v>11</v>
      </c>
      <c r="D22" t="s">
        <v>369</v>
      </c>
      <c r="I22">
        <v>1</v>
      </c>
    </row>
    <row r="23" spans="1:9" x14ac:dyDescent="0.35">
      <c r="A23">
        <v>21</v>
      </c>
      <c r="B23" t="s">
        <v>350</v>
      </c>
      <c r="C23" s="2" t="s">
        <v>11</v>
      </c>
      <c r="D23" t="s">
        <v>370</v>
      </c>
      <c r="I23">
        <v>1</v>
      </c>
    </row>
    <row r="24" spans="1:9" x14ac:dyDescent="0.35">
      <c r="A24">
        <v>22</v>
      </c>
      <c r="B24" t="s">
        <v>350</v>
      </c>
      <c r="C24" s="2" t="s">
        <v>11</v>
      </c>
      <c r="D24" t="s">
        <v>371</v>
      </c>
      <c r="E24">
        <v>1</v>
      </c>
    </row>
    <row r="25" spans="1:9" x14ac:dyDescent="0.35">
      <c r="A25">
        <v>23</v>
      </c>
      <c r="B25" t="s">
        <v>350</v>
      </c>
      <c r="C25" s="2" t="s">
        <v>11</v>
      </c>
      <c r="D25" t="s">
        <v>372</v>
      </c>
      <c r="E25">
        <v>1</v>
      </c>
    </row>
    <row r="26" spans="1:9" x14ac:dyDescent="0.35">
      <c r="A26">
        <v>24</v>
      </c>
      <c r="B26" t="s">
        <v>350</v>
      </c>
      <c r="C26" s="2" t="s">
        <v>11</v>
      </c>
      <c r="D26" t="s">
        <v>373</v>
      </c>
      <c r="I26">
        <v>1</v>
      </c>
    </row>
    <row r="27" spans="1:9" x14ac:dyDescent="0.35">
      <c r="A27">
        <v>25</v>
      </c>
      <c r="B27" t="s">
        <v>350</v>
      </c>
      <c r="C27" s="2" t="s">
        <v>11</v>
      </c>
      <c r="D27" t="s">
        <v>374</v>
      </c>
      <c r="I27">
        <v>1</v>
      </c>
    </row>
    <row r="28" spans="1:9" x14ac:dyDescent="0.35">
      <c r="A28">
        <v>26</v>
      </c>
      <c r="B28" t="s">
        <v>350</v>
      </c>
      <c r="C28" s="2" t="s">
        <v>11</v>
      </c>
      <c r="D28" t="s">
        <v>375</v>
      </c>
      <c r="I28">
        <v>1</v>
      </c>
    </row>
    <row r="29" spans="1:9" x14ac:dyDescent="0.35">
      <c r="A29">
        <v>27</v>
      </c>
      <c r="B29" t="s">
        <v>350</v>
      </c>
      <c r="C29" s="2" t="s">
        <v>11</v>
      </c>
      <c r="D29" t="s">
        <v>376</v>
      </c>
      <c r="E29">
        <v>1</v>
      </c>
    </row>
    <row r="30" spans="1:9" x14ac:dyDescent="0.35">
      <c r="A30">
        <v>28</v>
      </c>
      <c r="B30" t="s">
        <v>350</v>
      </c>
      <c r="C30" s="2" t="s">
        <v>11</v>
      </c>
      <c r="D30" t="s">
        <v>377</v>
      </c>
      <c r="E30">
        <v>1</v>
      </c>
    </row>
    <row r="31" spans="1:9" x14ac:dyDescent="0.35">
      <c r="A31">
        <v>29</v>
      </c>
      <c r="B31" t="s">
        <v>350</v>
      </c>
      <c r="C31" s="2" t="s">
        <v>11</v>
      </c>
      <c r="D31" t="s">
        <v>378</v>
      </c>
      <c r="G31">
        <v>1</v>
      </c>
    </row>
    <row r="32" spans="1:9" x14ac:dyDescent="0.35">
      <c r="A32">
        <v>30</v>
      </c>
      <c r="B32" t="s">
        <v>350</v>
      </c>
      <c r="C32" s="2" t="s">
        <v>11</v>
      </c>
      <c r="D32" t="s">
        <v>379</v>
      </c>
      <c r="I32">
        <v>1</v>
      </c>
    </row>
    <row r="36" spans="1:10" x14ac:dyDescent="0.35">
      <c r="C36" s="5" t="s">
        <v>7</v>
      </c>
      <c r="D36" s="6">
        <f>COUNTIF(E3:E33,1)</f>
        <v>4</v>
      </c>
      <c r="E36" s="6">
        <f>COUNTIF(E3:E22,1)</f>
        <v>0</v>
      </c>
    </row>
    <row r="37" spans="1:10" x14ac:dyDescent="0.35">
      <c r="C37" s="5" t="s">
        <v>8</v>
      </c>
      <c r="D37" s="6">
        <f>COUNTIF(E3:E33,1) + COUNTIF(G3:G33,1)</f>
        <v>11</v>
      </c>
      <c r="E37" s="6">
        <f>COUNTIF(E3:E22,1) + COUNTIF(G3:G22,1)</f>
        <v>6</v>
      </c>
    </row>
    <row r="38" spans="1:10" x14ac:dyDescent="0.35">
      <c r="C38" s="5" t="s">
        <v>10</v>
      </c>
      <c r="D38" s="6">
        <f>COUNTIF(F3:F33,1) + COUNTIF(H3:H33,1) + COUNTIF(I3:I33,1) + COUNTIF(J3:J33,1)</f>
        <v>19</v>
      </c>
      <c r="E38" s="6">
        <f>COUNTIF(F3:F22,1) + COUNTIF(H3:H22,1) + COUNTIF(I3:I22,1) + COUNTIF(J3:J22,1)</f>
        <v>14</v>
      </c>
    </row>
    <row r="39" spans="1:10" x14ac:dyDescent="0.35">
      <c r="C39" s="5" t="s">
        <v>9</v>
      </c>
      <c r="D39" s="6">
        <f>COUNTIF(F3:F33,1) + COUNTIF(H3:H33,1)</f>
        <v>1</v>
      </c>
      <c r="E39" s="6">
        <f>COUNTIF(F3:F22,1) + COUNTIF(H3:H22,1)</f>
        <v>1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30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350</v>
      </c>
      <c r="C43" s="4" t="s">
        <v>28</v>
      </c>
      <c r="D43" t="s">
        <v>381</v>
      </c>
      <c r="I43">
        <v>1</v>
      </c>
    </row>
    <row r="44" spans="1:10" x14ac:dyDescent="0.35">
      <c r="A44">
        <v>2</v>
      </c>
      <c r="B44" t="s">
        <v>350</v>
      </c>
      <c r="C44" s="4" t="s">
        <v>28</v>
      </c>
      <c r="D44" t="s">
        <v>382</v>
      </c>
      <c r="I44">
        <v>1</v>
      </c>
    </row>
    <row r="45" spans="1:10" x14ac:dyDescent="0.35">
      <c r="A45">
        <v>3</v>
      </c>
      <c r="B45" t="s">
        <v>350</v>
      </c>
      <c r="C45" s="4" t="s">
        <v>28</v>
      </c>
      <c r="D45" t="s">
        <v>383</v>
      </c>
      <c r="I45">
        <v>1</v>
      </c>
    </row>
    <row r="46" spans="1:10" x14ac:dyDescent="0.35">
      <c r="A46">
        <v>4</v>
      </c>
      <c r="B46" t="s">
        <v>350</v>
      </c>
      <c r="C46" s="4" t="s">
        <v>28</v>
      </c>
      <c r="D46" t="s">
        <v>384</v>
      </c>
      <c r="E46">
        <v>1</v>
      </c>
    </row>
    <row r="47" spans="1:10" x14ac:dyDescent="0.35">
      <c r="A47">
        <v>5</v>
      </c>
      <c r="B47" t="s">
        <v>350</v>
      </c>
      <c r="C47" s="4" t="s">
        <v>28</v>
      </c>
      <c r="D47" t="s">
        <v>385</v>
      </c>
      <c r="I47">
        <v>1</v>
      </c>
    </row>
    <row r="48" spans="1:10" x14ac:dyDescent="0.35">
      <c r="A48">
        <v>6</v>
      </c>
      <c r="B48" t="s">
        <v>350</v>
      </c>
      <c r="C48" s="4" t="s">
        <v>28</v>
      </c>
      <c r="D48" t="s">
        <v>386</v>
      </c>
      <c r="I48">
        <v>1</v>
      </c>
    </row>
    <row r="49" spans="1:9" x14ac:dyDescent="0.35">
      <c r="A49">
        <v>7</v>
      </c>
      <c r="B49" t="s">
        <v>350</v>
      </c>
      <c r="C49" s="4" t="s">
        <v>28</v>
      </c>
      <c r="D49" t="s">
        <v>387</v>
      </c>
      <c r="I49">
        <v>1</v>
      </c>
    </row>
    <row r="50" spans="1:9" x14ac:dyDescent="0.35">
      <c r="A50">
        <v>8</v>
      </c>
      <c r="B50" t="s">
        <v>350</v>
      </c>
      <c r="C50" s="4" t="s">
        <v>28</v>
      </c>
      <c r="D50" t="s">
        <v>388</v>
      </c>
      <c r="G50">
        <v>1</v>
      </c>
    </row>
    <row r="51" spans="1:9" x14ac:dyDescent="0.35">
      <c r="A51">
        <v>9</v>
      </c>
      <c r="B51" t="s">
        <v>350</v>
      </c>
      <c r="C51" s="4" t="s">
        <v>28</v>
      </c>
      <c r="D51" t="s">
        <v>389</v>
      </c>
      <c r="I51">
        <v>1</v>
      </c>
    </row>
    <row r="52" spans="1:9" x14ac:dyDescent="0.35">
      <c r="A52">
        <v>10</v>
      </c>
      <c r="B52" t="s">
        <v>350</v>
      </c>
      <c r="C52" s="4" t="s">
        <v>28</v>
      </c>
      <c r="D52" t="s">
        <v>390</v>
      </c>
      <c r="E52">
        <v>1</v>
      </c>
    </row>
    <row r="53" spans="1:9" x14ac:dyDescent="0.35">
      <c r="A53">
        <v>11</v>
      </c>
      <c r="B53" t="s">
        <v>350</v>
      </c>
      <c r="C53" s="4" t="s">
        <v>28</v>
      </c>
      <c r="D53" t="s">
        <v>391</v>
      </c>
      <c r="E53">
        <v>1</v>
      </c>
    </row>
    <row r="54" spans="1:9" x14ac:dyDescent="0.35">
      <c r="A54">
        <v>12</v>
      </c>
      <c r="B54" t="s">
        <v>350</v>
      </c>
      <c r="C54" s="4" t="s">
        <v>28</v>
      </c>
      <c r="D54" t="s">
        <v>392</v>
      </c>
      <c r="I54">
        <v>1</v>
      </c>
    </row>
    <row r="55" spans="1:9" x14ac:dyDescent="0.35">
      <c r="A55">
        <v>13</v>
      </c>
      <c r="B55" t="s">
        <v>350</v>
      </c>
      <c r="C55" s="4" t="s">
        <v>28</v>
      </c>
      <c r="D55" t="s">
        <v>393</v>
      </c>
      <c r="I55">
        <v>1</v>
      </c>
    </row>
    <row r="56" spans="1:9" x14ac:dyDescent="0.35">
      <c r="A56">
        <v>14</v>
      </c>
      <c r="B56" t="s">
        <v>350</v>
      </c>
      <c r="C56" s="4" t="s">
        <v>28</v>
      </c>
      <c r="D56" t="s">
        <v>394</v>
      </c>
      <c r="E56">
        <v>1</v>
      </c>
    </row>
    <row r="57" spans="1:9" x14ac:dyDescent="0.35">
      <c r="A57">
        <v>15</v>
      </c>
      <c r="B57" t="s">
        <v>350</v>
      </c>
      <c r="C57" s="4" t="s">
        <v>28</v>
      </c>
      <c r="D57" t="s">
        <v>395</v>
      </c>
      <c r="E57">
        <v>1</v>
      </c>
    </row>
    <row r="58" spans="1:9" x14ac:dyDescent="0.35">
      <c r="A58">
        <v>16</v>
      </c>
      <c r="B58" t="s">
        <v>350</v>
      </c>
      <c r="C58" s="4" t="s">
        <v>28</v>
      </c>
      <c r="D58" t="s">
        <v>396</v>
      </c>
      <c r="E58">
        <v>1</v>
      </c>
    </row>
    <row r="59" spans="1:9" x14ac:dyDescent="0.35">
      <c r="A59">
        <v>17</v>
      </c>
      <c r="B59" t="s">
        <v>350</v>
      </c>
      <c r="C59" s="4" t="s">
        <v>28</v>
      </c>
      <c r="D59" t="s">
        <v>397</v>
      </c>
      <c r="H59">
        <v>1</v>
      </c>
    </row>
    <row r="60" spans="1:9" x14ac:dyDescent="0.35">
      <c r="A60">
        <v>18</v>
      </c>
      <c r="B60" t="s">
        <v>350</v>
      </c>
      <c r="C60" s="4" t="s">
        <v>28</v>
      </c>
      <c r="D60" t="s">
        <v>398</v>
      </c>
      <c r="E60">
        <v>1</v>
      </c>
    </row>
    <row r="61" spans="1:9" x14ac:dyDescent="0.35">
      <c r="A61">
        <v>19</v>
      </c>
      <c r="B61" t="s">
        <v>350</v>
      </c>
      <c r="C61" s="4" t="s">
        <v>28</v>
      </c>
      <c r="D61" t="s">
        <v>399</v>
      </c>
      <c r="I61">
        <v>1</v>
      </c>
    </row>
    <row r="62" spans="1:9" x14ac:dyDescent="0.35">
      <c r="A62">
        <v>20</v>
      </c>
      <c r="B62" t="s">
        <v>350</v>
      </c>
      <c r="C62" s="4" t="s">
        <v>28</v>
      </c>
      <c r="D62" t="s">
        <v>400</v>
      </c>
      <c r="E62">
        <v>1</v>
      </c>
    </row>
    <row r="63" spans="1:9" x14ac:dyDescent="0.35">
      <c r="A63">
        <v>21</v>
      </c>
      <c r="B63" t="s">
        <v>350</v>
      </c>
      <c r="C63" s="4" t="s">
        <v>28</v>
      </c>
      <c r="D63" t="s">
        <v>401</v>
      </c>
      <c r="E63">
        <v>1</v>
      </c>
    </row>
    <row r="64" spans="1:9" x14ac:dyDescent="0.35">
      <c r="A64">
        <v>22</v>
      </c>
      <c r="B64" t="s">
        <v>350</v>
      </c>
      <c r="C64" s="4" t="s">
        <v>28</v>
      </c>
      <c r="D64" t="s">
        <v>402</v>
      </c>
      <c r="I64">
        <v>1</v>
      </c>
    </row>
    <row r="65" spans="1:10" x14ac:dyDescent="0.35">
      <c r="A65">
        <v>23</v>
      </c>
      <c r="B65" t="s">
        <v>350</v>
      </c>
      <c r="C65" s="4" t="s">
        <v>28</v>
      </c>
      <c r="D65" t="s">
        <v>403</v>
      </c>
      <c r="J65">
        <v>1</v>
      </c>
    </row>
    <row r="66" spans="1:10" x14ac:dyDescent="0.35">
      <c r="A66">
        <v>24</v>
      </c>
      <c r="B66" t="s">
        <v>350</v>
      </c>
      <c r="C66" s="4" t="s">
        <v>28</v>
      </c>
      <c r="D66" t="s">
        <v>404</v>
      </c>
      <c r="G66">
        <v>1</v>
      </c>
    </row>
    <row r="67" spans="1:10" x14ac:dyDescent="0.35">
      <c r="A67">
        <v>25</v>
      </c>
      <c r="B67" t="s">
        <v>350</v>
      </c>
      <c r="C67" s="4" t="s">
        <v>28</v>
      </c>
      <c r="D67" t="s">
        <v>405</v>
      </c>
      <c r="G67">
        <v>1</v>
      </c>
    </row>
    <row r="68" spans="1:10" x14ac:dyDescent="0.35">
      <c r="A68">
        <v>26</v>
      </c>
      <c r="B68" t="s">
        <v>350</v>
      </c>
      <c r="C68" s="4" t="s">
        <v>28</v>
      </c>
      <c r="D68" t="s">
        <v>406</v>
      </c>
      <c r="I68">
        <v>1</v>
      </c>
    </row>
    <row r="69" spans="1:10" x14ac:dyDescent="0.35">
      <c r="A69">
        <v>27</v>
      </c>
      <c r="B69" t="s">
        <v>350</v>
      </c>
      <c r="C69" s="4" t="s">
        <v>28</v>
      </c>
      <c r="D69" t="s">
        <v>407</v>
      </c>
      <c r="G69">
        <v>1</v>
      </c>
    </row>
    <row r="70" spans="1:10" x14ac:dyDescent="0.35">
      <c r="A70">
        <v>28</v>
      </c>
      <c r="B70" t="s">
        <v>350</v>
      </c>
      <c r="C70" s="4" t="s">
        <v>28</v>
      </c>
      <c r="D70" t="s">
        <v>408</v>
      </c>
      <c r="I70">
        <v>1</v>
      </c>
    </row>
    <row r="71" spans="1:10" x14ac:dyDescent="0.35">
      <c r="A71">
        <v>29</v>
      </c>
      <c r="B71" t="s">
        <v>350</v>
      </c>
      <c r="C71" s="4" t="s">
        <v>28</v>
      </c>
      <c r="D71" t="s">
        <v>409</v>
      </c>
      <c r="E71">
        <v>1</v>
      </c>
    </row>
    <row r="72" spans="1:10" x14ac:dyDescent="0.35">
      <c r="A72">
        <v>30</v>
      </c>
      <c r="B72" t="s">
        <v>350</v>
      </c>
      <c r="C72" s="4" t="s">
        <v>28</v>
      </c>
    </row>
    <row r="76" spans="1:10" x14ac:dyDescent="0.35">
      <c r="C76" s="5" t="s">
        <v>7</v>
      </c>
      <c r="D76" s="6">
        <f>COUNTIF(E43:E72,1)</f>
        <v>10</v>
      </c>
      <c r="E76" s="6">
        <f>COUNTIF(E43:E62,1)</f>
        <v>8</v>
      </c>
    </row>
    <row r="77" spans="1:10" x14ac:dyDescent="0.35">
      <c r="C77" s="5" t="s">
        <v>8</v>
      </c>
      <c r="D77" s="6">
        <f>COUNTIF(E43:E72,1) + COUNTIF(G43:G72,1)</f>
        <v>14</v>
      </c>
      <c r="E77" s="6">
        <f>COUNTIF(E43:E62,1) + COUNTIF(G43:G62,1)</f>
        <v>9</v>
      </c>
    </row>
    <row r="78" spans="1:10" x14ac:dyDescent="0.35">
      <c r="C78" s="5" t="s">
        <v>10</v>
      </c>
      <c r="D78" s="6">
        <f>COUNTIF(F43:F72,1) + COUNTIF(H43:H72,1) + COUNTIF(I43:I72,1) + COUNTIF(J43:J72,1)</f>
        <v>15</v>
      </c>
      <c r="E78" s="6">
        <f>COUNTIF(F43:F62,1) + COUNTIF(H43:H62,1) + COUNTIF(I43:I62,1) + COUNTIF(J43:J62,1)</f>
        <v>11</v>
      </c>
    </row>
    <row r="79" spans="1:10" x14ac:dyDescent="0.35">
      <c r="C79" s="5" t="s">
        <v>9</v>
      </c>
      <c r="D79" s="6">
        <f>COUNTIF(F43:F72,1) + COUNTIF(H43:H72,1)</f>
        <v>1</v>
      </c>
      <c r="E79" s="6">
        <f>COUNTIF(F43:F62,1) + COUNTIF(H43:H62,1)</f>
        <v>1</v>
      </c>
    </row>
    <row r="80" spans="1:10" x14ac:dyDescent="0.35">
      <c r="C80" s="5" t="s">
        <v>209</v>
      </c>
      <c r="D80" s="6">
        <f>COUNTIF(F43:F72,1) + COUNTIF(E43:E72,1) + COUNTIF(G43:G72,1) + COUNTIF(H43:H72,1) + COUNTIF(I43:I72,1) + COUNTIF(J43:J72,1)</f>
        <v>29</v>
      </c>
      <c r="E80" s="6">
        <f>COUNTIF(E43:E62,1) + COUNTIF(F43:F62,1) + COUNTIF(G43:G62,1) + COUNTIF(H43:H62,1) + COUNTIF(K43:K62,1) + COUNTIF(J43:J62,1) + COUNTIF(I43:I62,1)</f>
        <v>20</v>
      </c>
    </row>
  </sheetData>
  <phoneticPr fontId="1" type="noConversion"/>
  <conditionalFormatting sqref="E3:E33">
    <cfRule type="cellIs" dxfId="55" priority="7" operator="between">
      <formula>1</formula>
      <formula>1</formula>
    </cfRule>
  </conditionalFormatting>
  <conditionalFormatting sqref="E43:E73">
    <cfRule type="cellIs" dxfId="54" priority="4" operator="between">
      <formula>1</formula>
      <formula>1</formula>
    </cfRule>
  </conditionalFormatting>
  <conditionalFormatting sqref="F3:F33">
    <cfRule type="cellIs" dxfId="53" priority="5" operator="between">
      <formula>1</formula>
      <formula>1</formula>
    </cfRule>
  </conditionalFormatting>
  <conditionalFormatting sqref="F43:F73">
    <cfRule type="cellIs" dxfId="52" priority="3" operator="between">
      <formula>1</formula>
      <formula>1</formula>
    </cfRule>
  </conditionalFormatting>
  <conditionalFormatting sqref="G3:G33">
    <cfRule type="cellIs" dxfId="51" priority="8" operator="between">
      <formula>1</formula>
      <formula>2</formula>
    </cfRule>
  </conditionalFormatting>
  <conditionalFormatting sqref="G43:G73">
    <cfRule type="cellIs" dxfId="50" priority="2" operator="between">
      <formula>1</formula>
      <formula>1</formula>
    </cfRule>
  </conditionalFormatting>
  <conditionalFormatting sqref="H3:J33">
    <cfRule type="cellIs" dxfId="49" priority="6" operator="between">
      <formula>1</formula>
      <formula>1</formula>
    </cfRule>
  </conditionalFormatting>
  <conditionalFormatting sqref="H43:J73">
    <cfRule type="cellIs" dxfId="48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24D2-6256-4976-9643-A1A6A27ACE03}">
  <dimension ref="A2:J80"/>
  <sheetViews>
    <sheetView topLeftCell="A73" zoomScale="88" zoomScaleNormal="88" workbookViewId="0">
      <selection activeCell="E76" sqref="E76: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410</v>
      </c>
      <c r="C3" s="2" t="s">
        <v>11</v>
      </c>
      <c r="D3" t="s">
        <v>411</v>
      </c>
      <c r="I3">
        <v>1</v>
      </c>
    </row>
    <row r="4" spans="1:10" x14ac:dyDescent="0.35">
      <c r="A4">
        <v>2</v>
      </c>
      <c r="B4" t="s">
        <v>410</v>
      </c>
      <c r="C4" s="2" t="s">
        <v>11</v>
      </c>
      <c r="D4" t="s">
        <v>412</v>
      </c>
      <c r="E4">
        <v>1</v>
      </c>
    </row>
    <row r="5" spans="1:10" x14ac:dyDescent="0.35">
      <c r="A5">
        <v>3</v>
      </c>
      <c r="B5" t="s">
        <v>410</v>
      </c>
      <c r="C5" s="2" t="s">
        <v>11</v>
      </c>
      <c r="D5" t="s">
        <v>413</v>
      </c>
      <c r="I5">
        <v>1</v>
      </c>
    </row>
    <row r="6" spans="1:10" x14ac:dyDescent="0.35">
      <c r="A6">
        <v>4</v>
      </c>
      <c r="B6" t="s">
        <v>410</v>
      </c>
      <c r="C6" s="2" t="s">
        <v>11</v>
      </c>
      <c r="D6" t="s">
        <v>414</v>
      </c>
      <c r="I6">
        <v>1</v>
      </c>
    </row>
    <row r="7" spans="1:10" x14ac:dyDescent="0.35">
      <c r="A7">
        <v>5</v>
      </c>
      <c r="B7" t="s">
        <v>410</v>
      </c>
      <c r="C7" s="2" t="s">
        <v>11</v>
      </c>
      <c r="D7" t="s">
        <v>415</v>
      </c>
      <c r="E7">
        <v>1</v>
      </c>
    </row>
    <row r="8" spans="1:10" x14ac:dyDescent="0.35">
      <c r="A8">
        <v>6</v>
      </c>
      <c r="B8" t="s">
        <v>410</v>
      </c>
      <c r="C8" s="2" t="s">
        <v>11</v>
      </c>
      <c r="D8" t="s">
        <v>416</v>
      </c>
      <c r="E8">
        <v>1</v>
      </c>
    </row>
    <row r="9" spans="1:10" x14ac:dyDescent="0.35">
      <c r="A9">
        <v>7</v>
      </c>
      <c r="B9" t="s">
        <v>410</v>
      </c>
      <c r="C9" s="2" t="s">
        <v>11</v>
      </c>
      <c r="D9" t="s">
        <v>417</v>
      </c>
      <c r="I9">
        <v>1</v>
      </c>
    </row>
    <row r="10" spans="1:10" x14ac:dyDescent="0.35">
      <c r="A10">
        <v>8</v>
      </c>
      <c r="B10" t="s">
        <v>410</v>
      </c>
      <c r="C10" s="2" t="s">
        <v>11</v>
      </c>
      <c r="D10" t="s">
        <v>418</v>
      </c>
      <c r="I10">
        <v>1</v>
      </c>
    </row>
    <row r="11" spans="1:10" x14ac:dyDescent="0.35">
      <c r="A11">
        <v>9</v>
      </c>
      <c r="B11" t="s">
        <v>410</v>
      </c>
      <c r="C11" s="2" t="s">
        <v>11</v>
      </c>
      <c r="D11" t="s">
        <v>419</v>
      </c>
      <c r="I11">
        <v>1</v>
      </c>
    </row>
    <row r="12" spans="1:10" x14ac:dyDescent="0.35">
      <c r="A12">
        <v>10</v>
      </c>
      <c r="B12" t="s">
        <v>410</v>
      </c>
      <c r="C12" s="2" t="s">
        <v>11</v>
      </c>
      <c r="D12" t="s">
        <v>420</v>
      </c>
      <c r="I12">
        <v>1</v>
      </c>
    </row>
    <row r="13" spans="1:10" x14ac:dyDescent="0.35">
      <c r="A13">
        <v>11</v>
      </c>
      <c r="B13" t="s">
        <v>410</v>
      </c>
      <c r="C13" s="2" t="s">
        <v>11</v>
      </c>
      <c r="D13" t="s">
        <v>421</v>
      </c>
      <c r="H13">
        <v>1</v>
      </c>
    </row>
    <row r="14" spans="1:10" x14ac:dyDescent="0.35">
      <c r="A14">
        <v>12</v>
      </c>
      <c r="B14" t="s">
        <v>410</v>
      </c>
      <c r="C14" s="2" t="s">
        <v>11</v>
      </c>
      <c r="D14" t="s">
        <v>422</v>
      </c>
      <c r="I14">
        <v>1</v>
      </c>
    </row>
    <row r="15" spans="1:10" x14ac:dyDescent="0.35">
      <c r="A15">
        <v>13</v>
      </c>
      <c r="B15" t="s">
        <v>410</v>
      </c>
      <c r="C15" s="2" t="s">
        <v>11</v>
      </c>
      <c r="D15" t="s">
        <v>423</v>
      </c>
      <c r="F15">
        <v>1</v>
      </c>
    </row>
    <row r="16" spans="1:10" x14ac:dyDescent="0.35">
      <c r="A16">
        <v>14</v>
      </c>
      <c r="B16" t="s">
        <v>410</v>
      </c>
      <c r="C16" s="2" t="s">
        <v>11</v>
      </c>
      <c r="D16" t="s">
        <v>424</v>
      </c>
      <c r="H16">
        <v>1</v>
      </c>
    </row>
    <row r="17" spans="1:9" x14ac:dyDescent="0.35">
      <c r="A17">
        <v>15</v>
      </c>
      <c r="B17" t="s">
        <v>410</v>
      </c>
      <c r="C17" s="2" t="s">
        <v>11</v>
      </c>
      <c r="D17" t="s">
        <v>425</v>
      </c>
      <c r="H17">
        <v>1</v>
      </c>
    </row>
    <row r="18" spans="1:9" x14ac:dyDescent="0.35">
      <c r="A18">
        <v>16</v>
      </c>
      <c r="B18" t="s">
        <v>410</v>
      </c>
      <c r="C18" s="2" t="s">
        <v>11</v>
      </c>
      <c r="D18" t="s">
        <v>426</v>
      </c>
      <c r="G18">
        <v>1</v>
      </c>
    </row>
    <row r="19" spans="1:9" x14ac:dyDescent="0.35">
      <c r="A19">
        <v>17</v>
      </c>
      <c r="B19" t="s">
        <v>410</v>
      </c>
      <c r="C19" s="2" t="s">
        <v>11</v>
      </c>
      <c r="D19" t="s">
        <v>427</v>
      </c>
      <c r="I19">
        <v>1</v>
      </c>
    </row>
    <row r="20" spans="1:9" x14ac:dyDescent="0.35">
      <c r="A20">
        <v>18</v>
      </c>
      <c r="B20" t="s">
        <v>410</v>
      </c>
      <c r="C20" s="2" t="s">
        <v>11</v>
      </c>
      <c r="D20" t="s">
        <v>428</v>
      </c>
      <c r="I20">
        <v>1</v>
      </c>
    </row>
    <row r="21" spans="1:9" x14ac:dyDescent="0.35">
      <c r="A21">
        <v>19</v>
      </c>
      <c r="B21" t="s">
        <v>410</v>
      </c>
      <c r="C21" s="2" t="s">
        <v>11</v>
      </c>
      <c r="D21" t="s">
        <v>429</v>
      </c>
      <c r="I21">
        <v>1</v>
      </c>
    </row>
    <row r="22" spans="1:9" x14ac:dyDescent="0.35">
      <c r="A22">
        <v>20</v>
      </c>
      <c r="B22" t="s">
        <v>410</v>
      </c>
      <c r="C22" s="2" t="s">
        <v>11</v>
      </c>
      <c r="D22" t="s">
        <v>430</v>
      </c>
      <c r="I22">
        <v>1</v>
      </c>
    </row>
    <row r="23" spans="1:9" x14ac:dyDescent="0.35">
      <c r="A23">
        <v>21</v>
      </c>
      <c r="B23" t="s">
        <v>410</v>
      </c>
      <c r="C23" s="2" t="s">
        <v>11</v>
      </c>
      <c r="D23" t="s">
        <v>431</v>
      </c>
      <c r="I23">
        <v>1</v>
      </c>
    </row>
    <row r="24" spans="1:9" x14ac:dyDescent="0.35">
      <c r="A24">
        <v>22</v>
      </c>
      <c r="B24" t="s">
        <v>410</v>
      </c>
      <c r="C24" s="2" t="s">
        <v>11</v>
      </c>
      <c r="D24" t="s">
        <v>432</v>
      </c>
      <c r="I24">
        <v>1</v>
      </c>
    </row>
    <row r="25" spans="1:9" x14ac:dyDescent="0.35">
      <c r="A25">
        <v>23</v>
      </c>
      <c r="B25" t="s">
        <v>410</v>
      </c>
      <c r="C25" s="2" t="s">
        <v>11</v>
      </c>
      <c r="D25" t="s">
        <v>433</v>
      </c>
      <c r="H25">
        <v>1</v>
      </c>
    </row>
    <row r="26" spans="1:9" x14ac:dyDescent="0.35">
      <c r="A26">
        <v>24</v>
      </c>
      <c r="B26" t="s">
        <v>410</v>
      </c>
      <c r="C26" s="2" t="s">
        <v>11</v>
      </c>
      <c r="D26" t="s">
        <v>434</v>
      </c>
      <c r="H26">
        <v>1</v>
      </c>
    </row>
    <row r="27" spans="1:9" x14ac:dyDescent="0.35">
      <c r="A27">
        <v>25</v>
      </c>
      <c r="B27" t="s">
        <v>410</v>
      </c>
      <c r="C27" s="2" t="s">
        <v>11</v>
      </c>
      <c r="D27" t="s">
        <v>435</v>
      </c>
      <c r="F27">
        <v>1</v>
      </c>
    </row>
    <row r="28" spans="1:9" x14ac:dyDescent="0.35">
      <c r="A28">
        <v>26</v>
      </c>
      <c r="B28" t="s">
        <v>410</v>
      </c>
      <c r="C28" s="2" t="s">
        <v>11</v>
      </c>
      <c r="D28" t="s">
        <v>436</v>
      </c>
      <c r="I28">
        <v>1</v>
      </c>
    </row>
    <row r="29" spans="1:9" x14ac:dyDescent="0.35">
      <c r="A29">
        <v>27</v>
      </c>
      <c r="B29" t="s">
        <v>410</v>
      </c>
      <c r="C29" s="2" t="s">
        <v>11</v>
      </c>
      <c r="D29" t="s">
        <v>437</v>
      </c>
      <c r="H29">
        <v>1</v>
      </c>
    </row>
    <row r="30" spans="1:9" x14ac:dyDescent="0.35">
      <c r="A30">
        <v>28</v>
      </c>
      <c r="B30" t="s">
        <v>410</v>
      </c>
      <c r="C30" s="2" t="s">
        <v>11</v>
      </c>
      <c r="D30" t="s">
        <v>438</v>
      </c>
      <c r="I30">
        <v>1</v>
      </c>
    </row>
    <row r="31" spans="1:9" x14ac:dyDescent="0.35">
      <c r="A31">
        <v>29</v>
      </c>
      <c r="B31" t="s">
        <v>410</v>
      </c>
      <c r="C31" s="2" t="s">
        <v>11</v>
      </c>
      <c r="D31" t="s">
        <v>439</v>
      </c>
      <c r="I31">
        <v>1</v>
      </c>
    </row>
    <row r="32" spans="1:9" x14ac:dyDescent="0.35">
      <c r="A32">
        <v>30</v>
      </c>
      <c r="B32" t="s">
        <v>410</v>
      </c>
      <c r="C32" s="2" t="s">
        <v>11</v>
      </c>
      <c r="D32" t="s">
        <v>440</v>
      </c>
      <c r="I32">
        <v>1</v>
      </c>
    </row>
    <row r="36" spans="1:10" x14ac:dyDescent="0.35">
      <c r="C36" s="5" t="s">
        <v>7</v>
      </c>
      <c r="D36" s="6">
        <f>COUNTIF(E3:E33,1)</f>
        <v>3</v>
      </c>
      <c r="E36" s="6">
        <f>COUNTIF(E3:E22,1)</f>
        <v>3</v>
      </c>
    </row>
    <row r="37" spans="1:10" x14ac:dyDescent="0.35">
      <c r="C37" s="5" t="s">
        <v>8</v>
      </c>
      <c r="D37" s="6">
        <f>COUNTIF(E3:E33,1) + COUNTIF(G3:G33,1)</f>
        <v>4</v>
      </c>
      <c r="E37" s="6">
        <f>COUNTIF(E3:E22,1) + COUNTIF(G3:G22,1)</f>
        <v>4</v>
      </c>
    </row>
    <row r="38" spans="1:10" x14ac:dyDescent="0.35">
      <c r="C38" s="5" t="s">
        <v>10</v>
      </c>
      <c r="D38" s="6">
        <f>COUNTIF(F3:F33,1) + COUNTIF(H3:H33,1) + COUNTIF(I3:I33,1) + COUNTIF(J3:J33,1)</f>
        <v>26</v>
      </c>
      <c r="E38" s="6">
        <f>COUNTIF(F3:F22,1) + COUNTIF(H3:H22,1) + COUNTIF(I3:I22,1) + COUNTIF(J3:J22,1)</f>
        <v>16</v>
      </c>
    </row>
    <row r="39" spans="1:10" x14ac:dyDescent="0.35">
      <c r="C39" s="5" t="s">
        <v>9</v>
      </c>
      <c r="D39" s="6">
        <f>COUNTIF(F3:F33,1) + COUNTIF(H3:H33,1)</f>
        <v>8</v>
      </c>
      <c r="E39" s="6">
        <f>COUNTIF(F3:F22,1) + COUNTIF(H3:H22,1)</f>
        <v>4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30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410</v>
      </c>
      <c r="C43" s="4" t="s">
        <v>28</v>
      </c>
    </row>
    <row r="44" spans="1:10" x14ac:dyDescent="0.35">
      <c r="A44">
        <v>2</v>
      </c>
      <c r="B44" t="s">
        <v>410</v>
      </c>
      <c r="C44" s="4" t="s">
        <v>28</v>
      </c>
    </row>
    <row r="45" spans="1:10" x14ac:dyDescent="0.35">
      <c r="A45">
        <v>3</v>
      </c>
      <c r="B45" t="s">
        <v>410</v>
      </c>
      <c r="C45" s="4" t="s">
        <v>28</v>
      </c>
    </row>
    <row r="46" spans="1:10" x14ac:dyDescent="0.35">
      <c r="A46">
        <v>4</v>
      </c>
      <c r="B46" t="s">
        <v>410</v>
      </c>
      <c r="C46" s="4" t="s">
        <v>28</v>
      </c>
    </row>
    <row r="47" spans="1:10" x14ac:dyDescent="0.35">
      <c r="A47">
        <v>5</v>
      </c>
      <c r="B47" t="s">
        <v>410</v>
      </c>
      <c r="C47" s="4" t="s">
        <v>28</v>
      </c>
    </row>
    <row r="48" spans="1:10" x14ac:dyDescent="0.35">
      <c r="A48">
        <v>6</v>
      </c>
      <c r="B48" t="s">
        <v>410</v>
      </c>
      <c r="C48" s="4" t="s">
        <v>28</v>
      </c>
    </row>
    <row r="49" spans="1:3" x14ac:dyDescent="0.35">
      <c r="A49">
        <v>7</v>
      </c>
      <c r="B49" t="s">
        <v>410</v>
      </c>
      <c r="C49" s="4" t="s">
        <v>28</v>
      </c>
    </row>
    <row r="50" spans="1:3" x14ac:dyDescent="0.35">
      <c r="A50">
        <v>8</v>
      </c>
      <c r="B50" t="s">
        <v>410</v>
      </c>
      <c r="C50" s="4" t="s">
        <v>28</v>
      </c>
    </row>
    <row r="51" spans="1:3" x14ac:dyDescent="0.35">
      <c r="A51">
        <v>9</v>
      </c>
      <c r="B51" t="s">
        <v>410</v>
      </c>
      <c r="C51" s="4" t="s">
        <v>28</v>
      </c>
    </row>
    <row r="52" spans="1:3" x14ac:dyDescent="0.35">
      <c r="A52">
        <v>10</v>
      </c>
      <c r="B52" t="s">
        <v>410</v>
      </c>
      <c r="C52" s="4" t="s">
        <v>28</v>
      </c>
    </row>
    <row r="53" spans="1:3" x14ac:dyDescent="0.35">
      <c r="A53">
        <v>11</v>
      </c>
      <c r="B53" t="s">
        <v>410</v>
      </c>
      <c r="C53" s="4" t="s">
        <v>28</v>
      </c>
    </row>
    <row r="54" spans="1:3" x14ac:dyDescent="0.35">
      <c r="A54">
        <v>12</v>
      </c>
      <c r="B54" t="s">
        <v>410</v>
      </c>
      <c r="C54" s="4" t="s">
        <v>28</v>
      </c>
    </row>
    <row r="55" spans="1:3" x14ac:dyDescent="0.35">
      <c r="A55">
        <v>13</v>
      </c>
      <c r="B55" t="s">
        <v>410</v>
      </c>
      <c r="C55" s="4" t="s">
        <v>28</v>
      </c>
    </row>
    <row r="56" spans="1:3" x14ac:dyDescent="0.35">
      <c r="A56">
        <v>14</v>
      </c>
      <c r="B56" t="s">
        <v>410</v>
      </c>
      <c r="C56" s="4" t="s">
        <v>28</v>
      </c>
    </row>
    <row r="57" spans="1:3" x14ac:dyDescent="0.35">
      <c r="A57">
        <v>15</v>
      </c>
      <c r="B57" t="s">
        <v>410</v>
      </c>
      <c r="C57" s="4" t="s">
        <v>28</v>
      </c>
    </row>
    <row r="58" spans="1:3" x14ac:dyDescent="0.35">
      <c r="A58">
        <v>16</v>
      </c>
      <c r="B58" t="s">
        <v>410</v>
      </c>
      <c r="C58" s="4" t="s">
        <v>28</v>
      </c>
    </row>
    <row r="59" spans="1:3" x14ac:dyDescent="0.35">
      <c r="A59">
        <v>17</v>
      </c>
      <c r="B59" t="s">
        <v>410</v>
      </c>
      <c r="C59" s="4" t="s">
        <v>28</v>
      </c>
    </row>
    <row r="60" spans="1:3" x14ac:dyDescent="0.35">
      <c r="A60">
        <v>18</v>
      </c>
      <c r="B60" t="s">
        <v>410</v>
      </c>
      <c r="C60" s="4" t="s">
        <v>28</v>
      </c>
    </row>
    <row r="61" spans="1:3" x14ac:dyDescent="0.35">
      <c r="A61">
        <v>19</v>
      </c>
      <c r="B61" t="s">
        <v>410</v>
      </c>
      <c r="C61" s="4" t="s">
        <v>28</v>
      </c>
    </row>
    <row r="62" spans="1:3" x14ac:dyDescent="0.35">
      <c r="A62">
        <v>20</v>
      </c>
      <c r="B62" t="s">
        <v>410</v>
      </c>
      <c r="C62" s="4" t="s">
        <v>28</v>
      </c>
    </row>
    <row r="63" spans="1:3" x14ac:dyDescent="0.35">
      <c r="A63">
        <v>21</v>
      </c>
      <c r="B63" t="s">
        <v>410</v>
      </c>
      <c r="C63" s="4" t="s">
        <v>28</v>
      </c>
    </row>
    <row r="64" spans="1:3" x14ac:dyDescent="0.35">
      <c r="A64">
        <v>22</v>
      </c>
      <c r="B64" t="s">
        <v>410</v>
      </c>
      <c r="C64" s="4" t="s">
        <v>28</v>
      </c>
    </row>
    <row r="65" spans="1:5" x14ac:dyDescent="0.35">
      <c r="A65">
        <v>23</v>
      </c>
      <c r="B65" t="s">
        <v>410</v>
      </c>
      <c r="C65" s="4" t="s">
        <v>28</v>
      </c>
    </row>
    <row r="66" spans="1:5" x14ac:dyDescent="0.35">
      <c r="A66">
        <v>24</v>
      </c>
      <c r="B66" t="s">
        <v>410</v>
      </c>
      <c r="C66" s="4" t="s">
        <v>28</v>
      </c>
    </row>
    <row r="67" spans="1:5" x14ac:dyDescent="0.35">
      <c r="A67">
        <v>25</v>
      </c>
      <c r="B67" t="s">
        <v>410</v>
      </c>
      <c r="C67" s="4" t="s">
        <v>28</v>
      </c>
    </row>
    <row r="68" spans="1:5" x14ac:dyDescent="0.35">
      <c r="A68">
        <v>26</v>
      </c>
      <c r="B68" t="s">
        <v>410</v>
      </c>
      <c r="C68" s="4" t="s">
        <v>28</v>
      </c>
    </row>
    <row r="69" spans="1:5" x14ac:dyDescent="0.35">
      <c r="A69">
        <v>27</v>
      </c>
      <c r="B69" t="s">
        <v>410</v>
      </c>
      <c r="C69" s="4" t="s">
        <v>28</v>
      </c>
    </row>
    <row r="70" spans="1:5" x14ac:dyDescent="0.35">
      <c r="A70">
        <v>28</v>
      </c>
      <c r="B70" t="s">
        <v>410</v>
      </c>
      <c r="C70" s="4" t="s">
        <v>28</v>
      </c>
    </row>
    <row r="71" spans="1:5" x14ac:dyDescent="0.35">
      <c r="A71">
        <v>29</v>
      </c>
      <c r="B71" t="s">
        <v>410</v>
      </c>
      <c r="C71" s="4" t="s">
        <v>28</v>
      </c>
    </row>
    <row r="72" spans="1:5" x14ac:dyDescent="0.35">
      <c r="A72">
        <v>30</v>
      </c>
      <c r="B72" t="s">
        <v>410</v>
      </c>
      <c r="C72" s="4" t="s">
        <v>28</v>
      </c>
    </row>
    <row r="76" spans="1:5" x14ac:dyDescent="0.35">
      <c r="C76" s="5" t="s">
        <v>7</v>
      </c>
      <c r="D76" s="6">
        <f>COUNTIF(E43:E72,1)</f>
        <v>0</v>
      </c>
      <c r="E76" s="6">
        <f>COUNTIF(E43:E62,1)</f>
        <v>0</v>
      </c>
    </row>
    <row r="77" spans="1:5" x14ac:dyDescent="0.35">
      <c r="C77" s="5" t="s">
        <v>8</v>
      </c>
      <c r="D77" s="6">
        <f>COUNTIF(E43:E72,1) + COUNTIF(G43:G72,1)</f>
        <v>0</v>
      </c>
      <c r="E77" s="6">
        <f>COUNTIF(E43:E62,1) + COUNTIF(G43:G62,1)</f>
        <v>0</v>
      </c>
    </row>
    <row r="78" spans="1:5" x14ac:dyDescent="0.35">
      <c r="C78" s="5" t="s">
        <v>10</v>
      </c>
      <c r="D78" s="6">
        <f>COUNTIF(F43:F72,1) + COUNTIF(H43:H72,1) + COUNTIF(I43:I72,1) + COUNTIF(J43:J72,1)</f>
        <v>0</v>
      </c>
      <c r="E78" s="6">
        <f>COUNTIF(F43:F62,1) + COUNTIF(H43:H62,1) + COUNTIF(I43:I62,1) + COUNTIF(J43:J62,1)</f>
        <v>0</v>
      </c>
    </row>
    <row r="79" spans="1:5" x14ac:dyDescent="0.35">
      <c r="C79" s="5" t="s">
        <v>9</v>
      </c>
      <c r="D79" s="6">
        <f>COUNTIF(F43:F72,1) + COUNTIF(H43:H72,1)</f>
        <v>0</v>
      </c>
      <c r="E79" s="6">
        <f>COUNTIF(F43:F62,1) + COUNTIF(H43:H62,1)</f>
        <v>0</v>
      </c>
    </row>
    <row r="80" spans="1:5" x14ac:dyDescent="0.35">
      <c r="C80" s="5" t="s">
        <v>209</v>
      </c>
      <c r="D80" s="6">
        <f>COUNTIF(F43:F72,1) + COUNTIF(E43:E72,1) + COUNTIF(G43:G72,1) + COUNTIF(H43:H72,1) + COUNTIF(I43:I72,1) + COUNTIF(J43:J72,1)</f>
        <v>0</v>
      </c>
      <c r="E80" s="6">
        <f>COUNTIF(E43:E62,1) + COUNTIF(F43:F62,1) + COUNTIF(G43:G62,1) + COUNTIF(H43:H62,1) + COUNTIF(K43:K62,1) + COUNTIF(J43:J62,1) + COUNTIF(I43:I62,1)</f>
        <v>0</v>
      </c>
    </row>
  </sheetData>
  <phoneticPr fontId="1" type="noConversion"/>
  <conditionalFormatting sqref="E3:E33">
    <cfRule type="cellIs" dxfId="47" priority="7" operator="between">
      <formula>1</formula>
      <formula>1</formula>
    </cfRule>
  </conditionalFormatting>
  <conditionalFormatting sqref="E43:E73">
    <cfRule type="cellIs" dxfId="46" priority="4" operator="between">
      <formula>1</formula>
      <formula>1</formula>
    </cfRule>
  </conditionalFormatting>
  <conditionalFormatting sqref="F3:F33">
    <cfRule type="cellIs" dxfId="45" priority="5" operator="between">
      <formula>1</formula>
      <formula>1</formula>
    </cfRule>
  </conditionalFormatting>
  <conditionalFormatting sqref="F43:F73">
    <cfRule type="cellIs" dxfId="44" priority="3" operator="between">
      <formula>1</formula>
      <formula>1</formula>
    </cfRule>
  </conditionalFormatting>
  <conditionalFormatting sqref="G3:G33">
    <cfRule type="cellIs" dxfId="43" priority="8" operator="between">
      <formula>1</formula>
      <formula>2</formula>
    </cfRule>
  </conditionalFormatting>
  <conditionalFormatting sqref="G43:G73">
    <cfRule type="cellIs" dxfId="42" priority="2" operator="between">
      <formula>1</formula>
      <formula>1</formula>
    </cfRule>
  </conditionalFormatting>
  <conditionalFormatting sqref="H3:J33">
    <cfRule type="cellIs" dxfId="41" priority="6" operator="between">
      <formula>1</formula>
      <formula>1</formula>
    </cfRule>
  </conditionalFormatting>
  <conditionalFormatting sqref="H43:J73">
    <cfRule type="cellIs" dxfId="40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4F39-DD20-47D0-A535-2C95A83EA85C}">
  <dimension ref="A2:J80"/>
  <sheetViews>
    <sheetView topLeftCell="A61" zoomScale="85" zoomScaleNormal="85" workbookViewId="0">
      <selection activeCell="E76" sqref="E76:E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51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441</v>
      </c>
      <c r="C3" s="2" t="s">
        <v>11</v>
      </c>
      <c r="D3" t="s">
        <v>442</v>
      </c>
      <c r="E3">
        <v>1</v>
      </c>
    </row>
    <row r="4" spans="1:10" x14ac:dyDescent="0.35">
      <c r="A4">
        <v>2</v>
      </c>
      <c r="B4" t="s">
        <v>441</v>
      </c>
      <c r="C4" s="2" t="s">
        <v>11</v>
      </c>
      <c r="D4" t="s">
        <v>443</v>
      </c>
      <c r="G4">
        <v>1</v>
      </c>
    </row>
    <row r="5" spans="1:10" x14ac:dyDescent="0.35">
      <c r="A5">
        <v>3</v>
      </c>
      <c r="B5" t="s">
        <v>441</v>
      </c>
      <c r="C5" s="2" t="s">
        <v>11</v>
      </c>
      <c r="D5" t="s">
        <v>444</v>
      </c>
      <c r="F5">
        <v>1</v>
      </c>
    </row>
    <row r="6" spans="1:10" x14ac:dyDescent="0.35">
      <c r="A6">
        <v>4</v>
      </c>
      <c r="B6" t="s">
        <v>441</v>
      </c>
      <c r="C6" s="2" t="s">
        <v>11</v>
      </c>
      <c r="D6" t="s">
        <v>445</v>
      </c>
      <c r="I6">
        <v>1</v>
      </c>
    </row>
    <row r="7" spans="1:10" x14ac:dyDescent="0.35">
      <c r="A7">
        <v>5</v>
      </c>
      <c r="B7" t="s">
        <v>441</v>
      </c>
      <c r="C7" s="2" t="s">
        <v>11</v>
      </c>
      <c r="D7" t="s">
        <v>446</v>
      </c>
      <c r="I7">
        <v>1</v>
      </c>
    </row>
    <row r="8" spans="1:10" x14ac:dyDescent="0.35">
      <c r="A8">
        <v>6</v>
      </c>
      <c r="B8" t="s">
        <v>441</v>
      </c>
      <c r="C8" s="2" t="s">
        <v>11</v>
      </c>
      <c r="D8" t="s">
        <v>447</v>
      </c>
      <c r="E8">
        <v>1</v>
      </c>
    </row>
    <row r="9" spans="1:10" x14ac:dyDescent="0.35">
      <c r="A9">
        <v>7</v>
      </c>
      <c r="B9" t="s">
        <v>441</v>
      </c>
      <c r="C9" s="2" t="s">
        <v>11</v>
      </c>
      <c r="D9" t="s">
        <v>448</v>
      </c>
      <c r="E9">
        <v>1</v>
      </c>
    </row>
    <row r="10" spans="1:10" x14ac:dyDescent="0.35">
      <c r="A10">
        <v>8</v>
      </c>
      <c r="B10" t="s">
        <v>441</v>
      </c>
      <c r="C10" s="2" t="s">
        <v>11</v>
      </c>
      <c r="D10" t="s">
        <v>449</v>
      </c>
      <c r="G10">
        <v>1</v>
      </c>
    </row>
    <row r="11" spans="1:10" x14ac:dyDescent="0.35">
      <c r="A11">
        <v>9</v>
      </c>
      <c r="B11" t="s">
        <v>441</v>
      </c>
      <c r="C11" s="2" t="s">
        <v>11</v>
      </c>
      <c r="D11" t="s">
        <v>450</v>
      </c>
      <c r="I11">
        <v>1</v>
      </c>
    </row>
    <row r="12" spans="1:10" x14ac:dyDescent="0.35">
      <c r="A12">
        <v>10</v>
      </c>
      <c r="B12" t="s">
        <v>441</v>
      </c>
      <c r="C12" s="2" t="s">
        <v>11</v>
      </c>
      <c r="D12" t="s">
        <v>451</v>
      </c>
      <c r="E12">
        <v>1</v>
      </c>
    </row>
    <row r="13" spans="1:10" x14ac:dyDescent="0.35">
      <c r="A13">
        <v>11</v>
      </c>
      <c r="B13" t="s">
        <v>441</v>
      </c>
      <c r="C13" s="2" t="s">
        <v>11</v>
      </c>
      <c r="D13" t="s">
        <v>452</v>
      </c>
      <c r="E13">
        <v>1</v>
      </c>
    </row>
    <row r="14" spans="1:10" x14ac:dyDescent="0.35">
      <c r="A14">
        <v>12</v>
      </c>
      <c r="B14" t="s">
        <v>441</v>
      </c>
      <c r="C14" s="2" t="s">
        <v>11</v>
      </c>
      <c r="D14" t="s">
        <v>453</v>
      </c>
      <c r="E14">
        <v>1</v>
      </c>
    </row>
    <row r="15" spans="1:10" x14ac:dyDescent="0.35">
      <c r="A15">
        <v>13</v>
      </c>
      <c r="B15" t="s">
        <v>441</v>
      </c>
      <c r="C15" s="2" t="s">
        <v>11</v>
      </c>
      <c r="D15" t="s">
        <v>454</v>
      </c>
      <c r="I15">
        <v>1</v>
      </c>
    </row>
    <row r="16" spans="1:10" x14ac:dyDescent="0.35">
      <c r="A16">
        <v>14</v>
      </c>
      <c r="B16" t="s">
        <v>441</v>
      </c>
      <c r="C16" s="2" t="s">
        <v>11</v>
      </c>
      <c r="D16" t="s">
        <v>455</v>
      </c>
      <c r="I16">
        <v>1</v>
      </c>
    </row>
    <row r="17" spans="1:9" x14ac:dyDescent="0.35">
      <c r="A17">
        <v>15</v>
      </c>
      <c r="B17" t="s">
        <v>441</v>
      </c>
      <c r="C17" s="2" t="s">
        <v>11</v>
      </c>
      <c r="D17" t="s">
        <v>456</v>
      </c>
      <c r="E17">
        <v>1</v>
      </c>
    </row>
    <row r="18" spans="1:9" x14ac:dyDescent="0.35">
      <c r="A18">
        <v>16</v>
      </c>
      <c r="B18" t="s">
        <v>441</v>
      </c>
      <c r="C18" s="2" t="s">
        <v>11</v>
      </c>
      <c r="D18" t="s">
        <v>457</v>
      </c>
      <c r="E18">
        <v>1</v>
      </c>
    </row>
    <row r="19" spans="1:9" x14ac:dyDescent="0.35">
      <c r="A19">
        <v>17</v>
      </c>
      <c r="B19" t="s">
        <v>441</v>
      </c>
      <c r="C19" s="2" t="s">
        <v>11</v>
      </c>
      <c r="D19" t="s">
        <v>458</v>
      </c>
      <c r="E19">
        <v>1</v>
      </c>
    </row>
    <row r="20" spans="1:9" x14ac:dyDescent="0.35">
      <c r="A20">
        <v>18</v>
      </c>
      <c r="B20" t="s">
        <v>441</v>
      </c>
      <c r="C20" s="2" t="s">
        <v>11</v>
      </c>
      <c r="D20" t="s">
        <v>459</v>
      </c>
      <c r="F20">
        <v>1</v>
      </c>
    </row>
    <row r="21" spans="1:9" x14ac:dyDescent="0.35">
      <c r="A21">
        <v>19</v>
      </c>
      <c r="B21" t="s">
        <v>441</v>
      </c>
      <c r="C21" s="2" t="s">
        <v>11</v>
      </c>
      <c r="D21" t="s">
        <v>460</v>
      </c>
      <c r="E21">
        <v>1</v>
      </c>
    </row>
    <row r="22" spans="1:9" x14ac:dyDescent="0.35">
      <c r="A22">
        <v>20</v>
      </c>
      <c r="B22" t="s">
        <v>441</v>
      </c>
      <c r="C22" s="2" t="s">
        <v>11</v>
      </c>
      <c r="D22" t="s">
        <v>461</v>
      </c>
      <c r="E22">
        <v>1</v>
      </c>
    </row>
    <row r="23" spans="1:9" x14ac:dyDescent="0.35">
      <c r="A23">
        <v>21</v>
      </c>
      <c r="B23" t="s">
        <v>441</v>
      </c>
      <c r="C23" s="2" t="s">
        <v>11</v>
      </c>
      <c r="D23" t="s">
        <v>462</v>
      </c>
      <c r="G23">
        <v>1</v>
      </c>
    </row>
    <row r="24" spans="1:9" x14ac:dyDescent="0.35">
      <c r="A24">
        <v>22</v>
      </c>
      <c r="B24" t="s">
        <v>441</v>
      </c>
      <c r="C24" s="2" t="s">
        <v>11</v>
      </c>
      <c r="D24" t="s">
        <v>463</v>
      </c>
      <c r="E24">
        <v>1</v>
      </c>
    </row>
    <row r="25" spans="1:9" x14ac:dyDescent="0.35">
      <c r="A25">
        <v>23</v>
      </c>
      <c r="B25" t="s">
        <v>441</v>
      </c>
      <c r="C25" s="2" t="s">
        <v>11</v>
      </c>
      <c r="D25" t="s">
        <v>464</v>
      </c>
      <c r="I25">
        <v>1</v>
      </c>
    </row>
    <row r="26" spans="1:9" x14ac:dyDescent="0.35">
      <c r="A26">
        <v>24</v>
      </c>
      <c r="B26" t="s">
        <v>441</v>
      </c>
      <c r="C26" s="2" t="s">
        <v>11</v>
      </c>
      <c r="D26" t="s">
        <v>465</v>
      </c>
      <c r="H26">
        <v>1</v>
      </c>
    </row>
    <row r="27" spans="1:9" x14ac:dyDescent="0.35">
      <c r="A27">
        <v>25</v>
      </c>
      <c r="B27" t="s">
        <v>441</v>
      </c>
      <c r="C27" s="2" t="s">
        <v>11</v>
      </c>
      <c r="D27" t="s">
        <v>466</v>
      </c>
      <c r="G27">
        <v>1</v>
      </c>
    </row>
    <row r="28" spans="1:9" x14ac:dyDescent="0.35">
      <c r="A28">
        <v>26</v>
      </c>
      <c r="B28" t="s">
        <v>441</v>
      </c>
      <c r="C28" s="2" t="s">
        <v>11</v>
      </c>
      <c r="D28" t="s">
        <v>467</v>
      </c>
      <c r="G28">
        <v>1</v>
      </c>
    </row>
    <row r="29" spans="1:9" x14ac:dyDescent="0.35">
      <c r="A29">
        <v>27</v>
      </c>
      <c r="B29" t="s">
        <v>441</v>
      </c>
      <c r="C29" s="2" t="s">
        <v>11</v>
      </c>
      <c r="D29" t="s">
        <v>468</v>
      </c>
      <c r="E29">
        <v>1</v>
      </c>
    </row>
    <row r="30" spans="1:9" x14ac:dyDescent="0.35">
      <c r="A30">
        <v>28</v>
      </c>
      <c r="B30" t="s">
        <v>441</v>
      </c>
      <c r="C30" s="2" t="s">
        <v>11</v>
      </c>
      <c r="D30" t="s">
        <v>469</v>
      </c>
      <c r="E30">
        <v>1</v>
      </c>
    </row>
    <row r="31" spans="1:9" x14ac:dyDescent="0.35">
      <c r="A31">
        <v>29</v>
      </c>
      <c r="B31" t="s">
        <v>441</v>
      </c>
      <c r="C31" s="2" t="s">
        <v>11</v>
      </c>
      <c r="D31" t="s">
        <v>470</v>
      </c>
      <c r="E31">
        <v>1</v>
      </c>
    </row>
    <row r="32" spans="1:9" x14ac:dyDescent="0.35">
      <c r="A32">
        <v>30</v>
      </c>
      <c r="B32" t="s">
        <v>441</v>
      </c>
      <c r="C32" s="2" t="s">
        <v>11</v>
      </c>
      <c r="D32" t="s">
        <v>471</v>
      </c>
      <c r="G32">
        <v>1</v>
      </c>
    </row>
    <row r="36" spans="1:10" x14ac:dyDescent="0.35">
      <c r="C36" s="5" t="s">
        <v>7</v>
      </c>
      <c r="D36" s="6">
        <f>COUNTIF(E3:E33,1)</f>
        <v>15</v>
      </c>
      <c r="E36" s="6">
        <f>COUNTIF(E3:E22,1)</f>
        <v>11</v>
      </c>
    </row>
    <row r="37" spans="1:10" x14ac:dyDescent="0.35">
      <c r="C37" s="5" t="s">
        <v>8</v>
      </c>
      <c r="D37" s="6">
        <f>COUNTIF(E3:E33,1) + COUNTIF(G3:G33,1)</f>
        <v>21</v>
      </c>
      <c r="E37" s="6">
        <f>COUNTIF(E3:E22,1) + COUNTIF(G3:G22,1)</f>
        <v>13</v>
      </c>
    </row>
    <row r="38" spans="1:10" x14ac:dyDescent="0.35">
      <c r="C38" s="5" t="s">
        <v>10</v>
      </c>
      <c r="D38" s="6">
        <f>COUNTIF(F3:F33,1) + COUNTIF(H3:H33,1) + COUNTIF(I3:I33,1) + COUNTIF(J3:J33,1)</f>
        <v>9</v>
      </c>
      <c r="E38" s="6">
        <f>COUNTIF(F3:F22,1) + COUNTIF(H3:H22,1) + COUNTIF(I3:I22,1) + COUNTIF(J3:J22,1)</f>
        <v>7</v>
      </c>
    </row>
    <row r="39" spans="1:10" x14ac:dyDescent="0.35">
      <c r="C39" s="5" t="s">
        <v>9</v>
      </c>
      <c r="D39" s="6">
        <f>COUNTIF(F3:F33,1) + COUNTIF(H3:H33,1)</f>
        <v>3</v>
      </c>
      <c r="E39" s="6">
        <f>COUNTIF(F3:F22,1) + COUNTIF(H3:H22,1)</f>
        <v>2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30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441</v>
      </c>
      <c r="C43" s="4" t="s">
        <v>28</v>
      </c>
      <c r="D43" t="s">
        <v>472</v>
      </c>
      <c r="E43">
        <v>1</v>
      </c>
    </row>
    <row r="44" spans="1:10" x14ac:dyDescent="0.35">
      <c r="A44">
        <v>2</v>
      </c>
      <c r="B44" t="s">
        <v>441</v>
      </c>
      <c r="C44" s="4" t="s">
        <v>28</v>
      </c>
      <c r="D44" t="s">
        <v>473</v>
      </c>
      <c r="G44">
        <v>1</v>
      </c>
    </row>
    <row r="45" spans="1:10" x14ac:dyDescent="0.35">
      <c r="A45">
        <v>3</v>
      </c>
      <c r="B45" t="s">
        <v>441</v>
      </c>
      <c r="C45" s="4" t="s">
        <v>28</v>
      </c>
      <c r="D45" t="s">
        <v>474</v>
      </c>
      <c r="E45">
        <v>1</v>
      </c>
    </row>
    <row r="46" spans="1:10" x14ac:dyDescent="0.35">
      <c r="A46">
        <v>4</v>
      </c>
      <c r="B46" t="s">
        <v>441</v>
      </c>
      <c r="C46" s="4" t="s">
        <v>28</v>
      </c>
      <c r="D46" t="s">
        <v>475</v>
      </c>
      <c r="G46">
        <v>1</v>
      </c>
    </row>
    <row r="47" spans="1:10" x14ac:dyDescent="0.35">
      <c r="A47">
        <v>5</v>
      </c>
      <c r="B47" t="s">
        <v>441</v>
      </c>
      <c r="C47" s="4" t="s">
        <v>28</v>
      </c>
      <c r="D47" t="s">
        <v>476</v>
      </c>
      <c r="I47">
        <v>1</v>
      </c>
    </row>
    <row r="48" spans="1:10" x14ac:dyDescent="0.35">
      <c r="A48">
        <v>6</v>
      </c>
      <c r="B48" t="s">
        <v>441</v>
      </c>
      <c r="C48" s="4" t="s">
        <v>28</v>
      </c>
      <c r="D48" t="s">
        <v>477</v>
      </c>
      <c r="E48">
        <v>1</v>
      </c>
    </row>
    <row r="49" spans="1:10" x14ac:dyDescent="0.35">
      <c r="A49">
        <v>7</v>
      </c>
      <c r="B49" t="s">
        <v>441</v>
      </c>
      <c r="C49" s="4" t="s">
        <v>28</v>
      </c>
      <c r="D49" t="s">
        <v>478</v>
      </c>
      <c r="G49">
        <v>1</v>
      </c>
    </row>
    <row r="50" spans="1:10" x14ac:dyDescent="0.35">
      <c r="A50">
        <v>8</v>
      </c>
      <c r="B50" t="s">
        <v>441</v>
      </c>
      <c r="C50" s="4" t="s">
        <v>28</v>
      </c>
      <c r="D50" t="s">
        <v>479</v>
      </c>
      <c r="I50">
        <v>1</v>
      </c>
    </row>
    <row r="51" spans="1:10" x14ac:dyDescent="0.35">
      <c r="A51">
        <v>9</v>
      </c>
      <c r="B51" t="s">
        <v>441</v>
      </c>
      <c r="C51" s="4" t="s">
        <v>28</v>
      </c>
      <c r="D51" t="s">
        <v>480</v>
      </c>
      <c r="E51">
        <v>1</v>
      </c>
    </row>
    <row r="52" spans="1:10" x14ac:dyDescent="0.35">
      <c r="A52">
        <v>10</v>
      </c>
      <c r="B52" t="s">
        <v>441</v>
      </c>
      <c r="C52" s="4" t="s">
        <v>28</v>
      </c>
      <c r="D52" t="s">
        <v>481</v>
      </c>
      <c r="E52">
        <v>1</v>
      </c>
    </row>
    <row r="53" spans="1:10" x14ac:dyDescent="0.35">
      <c r="A53">
        <v>11</v>
      </c>
      <c r="B53" t="s">
        <v>441</v>
      </c>
      <c r="C53" s="4" t="s">
        <v>28</v>
      </c>
      <c r="D53" t="s">
        <v>482</v>
      </c>
      <c r="G53">
        <v>1</v>
      </c>
    </row>
    <row r="54" spans="1:10" x14ac:dyDescent="0.35">
      <c r="A54">
        <v>12</v>
      </c>
      <c r="B54" t="s">
        <v>441</v>
      </c>
      <c r="C54" s="4" t="s">
        <v>28</v>
      </c>
      <c r="D54" t="s">
        <v>483</v>
      </c>
      <c r="E54">
        <v>1</v>
      </c>
    </row>
    <row r="55" spans="1:10" x14ac:dyDescent="0.35">
      <c r="A55">
        <v>13</v>
      </c>
      <c r="B55" t="s">
        <v>441</v>
      </c>
      <c r="C55" s="4" t="s">
        <v>28</v>
      </c>
      <c r="D55" t="s">
        <v>484</v>
      </c>
      <c r="E55">
        <v>1</v>
      </c>
    </row>
    <row r="56" spans="1:10" x14ac:dyDescent="0.35">
      <c r="A56">
        <v>14</v>
      </c>
      <c r="B56" t="s">
        <v>441</v>
      </c>
      <c r="C56" s="4" t="s">
        <v>28</v>
      </c>
      <c r="D56" t="s">
        <v>485</v>
      </c>
      <c r="F56">
        <v>1</v>
      </c>
    </row>
    <row r="57" spans="1:10" x14ac:dyDescent="0.35">
      <c r="A57">
        <v>15</v>
      </c>
      <c r="B57" t="s">
        <v>441</v>
      </c>
      <c r="C57" s="4" t="s">
        <v>28</v>
      </c>
      <c r="D57" t="s">
        <v>486</v>
      </c>
      <c r="E57">
        <v>1</v>
      </c>
    </row>
    <row r="58" spans="1:10" x14ac:dyDescent="0.35">
      <c r="A58">
        <v>16</v>
      </c>
      <c r="B58" t="s">
        <v>441</v>
      </c>
      <c r="C58" s="4" t="s">
        <v>28</v>
      </c>
      <c r="D58" t="s">
        <v>487</v>
      </c>
      <c r="E58">
        <v>1</v>
      </c>
    </row>
    <row r="59" spans="1:10" x14ac:dyDescent="0.35">
      <c r="A59">
        <v>17</v>
      </c>
      <c r="B59" t="s">
        <v>441</v>
      </c>
      <c r="C59" s="4" t="s">
        <v>28</v>
      </c>
      <c r="D59" t="s">
        <v>488</v>
      </c>
      <c r="G59">
        <v>1</v>
      </c>
    </row>
    <row r="60" spans="1:10" x14ac:dyDescent="0.35">
      <c r="A60">
        <v>18</v>
      </c>
      <c r="B60" t="s">
        <v>441</v>
      </c>
      <c r="C60" s="4" t="s">
        <v>28</v>
      </c>
      <c r="D60" t="s">
        <v>489</v>
      </c>
      <c r="G60">
        <v>1</v>
      </c>
    </row>
    <row r="61" spans="1:10" x14ac:dyDescent="0.35">
      <c r="A61">
        <v>19</v>
      </c>
      <c r="B61" t="s">
        <v>441</v>
      </c>
      <c r="C61" s="4" t="s">
        <v>28</v>
      </c>
      <c r="D61" t="s">
        <v>490</v>
      </c>
      <c r="G61">
        <v>1</v>
      </c>
    </row>
    <row r="62" spans="1:10" x14ac:dyDescent="0.35">
      <c r="A62">
        <v>20</v>
      </c>
      <c r="B62" t="s">
        <v>441</v>
      </c>
      <c r="C62" s="4" t="s">
        <v>28</v>
      </c>
      <c r="D62" t="s">
        <v>491</v>
      </c>
      <c r="J62">
        <v>1</v>
      </c>
    </row>
    <row r="63" spans="1:10" x14ac:dyDescent="0.35">
      <c r="A63">
        <v>21</v>
      </c>
      <c r="B63" t="s">
        <v>441</v>
      </c>
      <c r="C63" s="4" t="s">
        <v>28</v>
      </c>
      <c r="D63" t="s">
        <v>492</v>
      </c>
      <c r="E63">
        <v>1</v>
      </c>
    </row>
    <row r="64" spans="1:10" x14ac:dyDescent="0.35">
      <c r="A64">
        <v>22</v>
      </c>
      <c r="B64" t="s">
        <v>441</v>
      </c>
      <c r="C64" s="4" t="s">
        <v>28</v>
      </c>
      <c r="D64" t="s">
        <v>493</v>
      </c>
      <c r="J64">
        <v>1</v>
      </c>
    </row>
    <row r="65" spans="1:10" x14ac:dyDescent="0.35">
      <c r="A65">
        <v>23</v>
      </c>
      <c r="B65" t="s">
        <v>441</v>
      </c>
      <c r="C65" s="4" t="s">
        <v>28</v>
      </c>
      <c r="D65" t="s">
        <v>494</v>
      </c>
      <c r="E65">
        <v>1</v>
      </c>
    </row>
    <row r="66" spans="1:10" x14ac:dyDescent="0.35">
      <c r="A66">
        <v>24</v>
      </c>
      <c r="B66" t="s">
        <v>441</v>
      </c>
      <c r="C66" s="4" t="s">
        <v>28</v>
      </c>
      <c r="D66" t="s">
        <v>495</v>
      </c>
      <c r="E66">
        <v>1</v>
      </c>
    </row>
    <row r="67" spans="1:10" x14ac:dyDescent="0.35">
      <c r="A67">
        <v>25</v>
      </c>
      <c r="B67" t="s">
        <v>441</v>
      </c>
      <c r="C67" s="4" t="s">
        <v>28</v>
      </c>
      <c r="D67" t="s">
        <v>496</v>
      </c>
      <c r="E67">
        <v>1</v>
      </c>
    </row>
    <row r="68" spans="1:10" x14ac:dyDescent="0.35">
      <c r="A68">
        <v>26</v>
      </c>
      <c r="B68" t="s">
        <v>441</v>
      </c>
      <c r="C68" s="4" t="s">
        <v>28</v>
      </c>
      <c r="D68" t="s">
        <v>497</v>
      </c>
      <c r="G68">
        <v>1</v>
      </c>
    </row>
    <row r="69" spans="1:10" x14ac:dyDescent="0.35">
      <c r="A69">
        <v>27</v>
      </c>
      <c r="B69" t="s">
        <v>441</v>
      </c>
      <c r="C69" s="4" t="s">
        <v>28</v>
      </c>
      <c r="D69" t="s">
        <v>498</v>
      </c>
      <c r="E69">
        <v>1</v>
      </c>
    </row>
    <row r="70" spans="1:10" x14ac:dyDescent="0.35">
      <c r="A70">
        <v>28</v>
      </c>
      <c r="B70" t="s">
        <v>441</v>
      </c>
      <c r="C70" s="4" t="s">
        <v>28</v>
      </c>
      <c r="D70" t="s">
        <v>499</v>
      </c>
      <c r="J70">
        <v>1</v>
      </c>
    </row>
    <row r="71" spans="1:10" x14ac:dyDescent="0.35">
      <c r="A71">
        <v>29</v>
      </c>
      <c r="B71" t="s">
        <v>441</v>
      </c>
      <c r="C71" s="4" t="s">
        <v>28</v>
      </c>
      <c r="D71" t="s">
        <v>500</v>
      </c>
      <c r="E71">
        <v>1</v>
      </c>
    </row>
    <row r="72" spans="1:10" x14ac:dyDescent="0.35">
      <c r="A72">
        <v>30</v>
      </c>
      <c r="B72" t="s">
        <v>441</v>
      </c>
      <c r="C72" s="4" t="s">
        <v>28</v>
      </c>
      <c r="D72" t="s">
        <v>501</v>
      </c>
      <c r="I72">
        <v>1</v>
      </c>
    </row>
    <row r="76" spans="1:10" x14ac:dyDescent="0.35">
      <c r="C76" s="5" t="s">
        <v>7</v>
      </c>
      <c r="D76" s="6">
        <f>COUNTIF(E43:E72,1)</f>
        <v>15</v>
      </c>
      <c r="E76" s="6">
        <f>COUNTIF(E43:E62,1)</f>
        <v>9</v>
      </c>
    </row>
    <row r="77" spans="1:10" x14ac:dyDescent="0.35">
      <c r="C77" s="5" t="s">
        <v>8</v>
      </c>
      <c r="D77" s="6">
        <f>COUNTIF(E43:E72,1) + COUNTIF(G43:G72,1)</f>
        <v>23</v>
      </c>
      <c r="E77" s="6">
        <f>COUNTIF(E43:E62,1) + COUNTIF(G43:G62,1)</f>
        <v>16</v>
      </c>
    </row>
    <row r="78" spans="1:10" x14ac:dyDescent="0.35">
      <c r="C78" s="5" t="s">
        <v>10</v>
      </c>
      <c r="D78" s="6">
        <f>COUNTIF(F43:F72,1) + COUNTIF(H43:H72,1) + COUNTIF(I43:I72,1) + COUNTIF(J43:J72,1)</f>
        <v>7</v>
      </c>
      <c r="E78" s="6">
        <f>COUNTIF(F43:F62,1) + COUNTIF(H43:H62,1) + COUNTIF(I43:I62,1) + COUNTIF(J43:J62,1)</f>
        <v>4</v>
      </c>
    </row>
    <row r="79" spans="1:10" x14ac:dyDescent="0.35">
      <c r="C79" s="5" t="s">
        <v>9</v>
      </c>
      <c r="D79" s="6">
        <f>COUNTIF(F43:F72,1) + COUNTIF(H43:H72,1)</f>
        <v>1</v>
      </c>
      <c r="E79" s="6">
        <f>COUNTIF(F43:F62,1) + COUNTIF(H43:H62,1)</f>
        <v>1</v>
      </c>
    </row>
    <row r="80" spans="1:10" x14ac:dyDescent="0.35">
      <c r="C80" s="5" t="s">
        <v>209</v>
      </c>
      <c r="D80" s="6">
        <f>COUNTIF(F43:F72,1) + COUNTIF(E43:E72,1) + COUNTIF(G43:G72,1) + COUNTIF(H43:H72,1) + COUNTIF(I43:I72,1) + COUNTIF(J43:J72,1)</f>
        <v>30</v>
      </c>
      <c r="E80" s="6">
        <f>COUNTIF(E43:E62,1) + COUNTIF(F43:F62,1) + COUNTIF(G43:G62,1) + COUNTIF(H43:H62,1) + COUNTIF(K43:K62,1) + COUNTIF(J43:J62,1) + COUNTIF(I43:I62,1)</f>
        <v>20</v>
      </c>
    </row>
  </sheetData>
  <conditionalFormatting sqref="E3:E33">
    <cfRule type="cellIs" dxfId="39" priority="7" operator="between">
      <formula>1</formula>
      <formula>1</formula>
    </cfRule>
  </conditionalFormatting>
  <conditionalFormatting sqref="E43:E73">
    <cfRule type="cellIs" dxfId="38" priority="4" operator="between">
      <formula>1</formula>
      <formula>1</formula>
    </cfRule>
  </conditionalFormatting>
  <conditionalFormatting sqref="F3:F33">
    <cfRule type="cellIs" dxfId="37" priority="5" operator="between">
      <formula>1</formula>
      <formula>1</formula>
    </cfRule>
  </conditionalFormatting>
  <conditionalFormatting sqref="F43:F73">
    <cfRule type="cellIs" dxfId="36" priority="3" operator="between">
      <formula>1</formula>
      <formula>1</formula>
    </cfRule>
  </conditionalFormatting>
  <conditionalFormatting sqref="G3:G33">
    <cfRule type="cellIs" dxfId="35" priority="8" operator="between">
      <formula>1</formula>
      <formula>2</formula>
    </cfRule>
  </conditionalFormatting>
  <conditionalFormatting sqref="G43:G73">
    <cfRule type="cellIs" dxfId="34" priority="2" operator="between">
      <formula>1</formula>
      <formula>1</formula>
    </cfRule>
  </conditionalFormatting>
  <conditionalFormatting sqref="H3:J33">
    <cfRule type="cellIs" dxfId="33" priority="6" operator="between">
      <formula>1</formula>
      <formula>1</formula>
    </cfRule>
  </conditionalFormatting>
  <conditionalFormatting sqref="H43:J73">
    <cfRule type="cellIs" dxfId="32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C655-567D-4573-B523-AF127FFF2FD8}">
  <dimension ref="A2:J80"/>
  <sheetViews>
    <sheetView topLeftCell="A16" zoomScale="88" zoomScaleNormal="88" workbookViewId="0">
      <selection activeCell="D76" sqref="D76:D8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502</v>
      </c>
      <c r="C3" s="2" t="s">
        <v>11</v>
      </c>
    </row>
    <row r="4" spans="1:10" x14ac:dyDescent="0.35">
      <c r="A4">
        <v>2</v>
      </c>
      <c r="B4" t="s">
        <v>502</v>
      </c>
      <c r="C4" s="2" t="s">
        <v>11</v>
      </c>
    </row>
    <row r="5" spans="1:10" x14ac:dyDescent="0.35">
      <c r="A5">
        <v>3</v>
      </c>
      <c r="B5" t="s">
        <v>502</v>
      </c>
      <c r="C5" s="2" t="s">
        <v>11</v>
      </c>
    </row>
    <row r="6" spans="1:10" x14ac:dyDescent="0.35">
      <c r="A6">
        <v>4</v>
      </c>
      <c r="B6" t="s">
        <v>502</v>
      </c>
      <c r="C6" s="2" t="s">
        <v>11</v>
      </c>
    </row>
    <row r="7" spans="1:10" x14ac:dyDescent="0.35">
      <c r="A7">
        <v>5</v>
      </c>
      <c r="B7" t="s">
        <v>502</v>
      </c>
      <c r="C7" s="2" t="s">
        <v>11</v>
      </c>
    </row>
    <row r="8" spans="1:10" x14ac:dyDescent="0.35">
      <c r="A8">
        <v>6</v>
      </c>
      <c r="B8" t="s">
        <v>502</v>
      </c>
      <c r="C8" s="2" t="s">
        <v>11</v>
      </c>
    </row>
    <row r="9" spans="1:10" x14ac:dyDescent="0.35">
      <c r="A9">
        <v>7</v>
      </c>
      <c r="B9" t="s">
        <v>502</v>
      </c>
      <c r="C9" s="2" t="s">
        <v>11</v>
      </c>
    </row>
    <row r="10" spans="1:10" x14ac:dyDescent="0.35">
      <c r="A10">
        <v>8</v>
      </c>
      <c r="B10" t="s">
        <v>502</v>
      </c>
      <c r="C10" s="2" t="s">
        <v>11</v>
      </c>
    </row>
    <row r="11" spans="1:10" x14ac:dyDescent="0.35">
      <c r="A11">
        <v>9</v>
      </c>
      <c r="B11" t="s">
        <v>502</v>
      </c>
      <c r="C11" s="2" t="s">
        <v>11</v>
      </c>
    </row>
    <row r="12" spans="1:10" x14ac:dyDescent="0.35">
      <c r="A12">
        <v>10</v>
      </c>
      <c r="B12" t="s">
        <v>502</v>
      </c>
      <c r="C12" s="2" t="s">
        <v>11</v>
      </c>
    </row>
    <row r="13" spans="1:10" x14ac:dyDescent="0.35">
      <c r="A13">
        <v>11</v>
      </c>
      <c r="B13" t="s">
        <v>502</v>
      </c>
      <c r="C13" s="2" t="s">
        <v>11</v>
      </c>
    </row>
    <row r="14" spans="1:10" x14ac:dyDescent="0.35">
      <c r="A14">
        <v>12</v>
      </c>
      <c r="B14" t="s">
        <v>502</v>
      </c>
      <c r="C14" s="2" t="s">
        <v>11</v>
      </c>
    </row>
    <row r="15" spans="1:10" x14ac:dyDescent="0.35">
      <c r="A15">
        <v>13</v>
      </c>
      <c r="B15" t="s">
        <v>502</v>
      </c>
      <c r="C15" s="2" t="s">
        <v>11</v>
      </c>
    </row>
    <row r="16" spans="1:10" x14ac:dyDescent="0.35">
      <c r="A16">
        <v>14</v>
      </c>
      <c r="B16" t="s">
        <v>502</v>
      </c>
      <c r="C16" s="2" t="s">
        <v>11</v>
      </c>
    </row>
    <row r="17" spans="1:3" x14ac:dyDescent="0.35">
      <c r="A17">
        <v>15</v>
      </c>
      <c r="B17" t="s">
        <v>502</v>
      </c>
      <c r="C17" s="2" t="s">
        <v>11</v>
      </c>
    </row>
    <row r="18" spans="1:3" x14ac:dyDescent="0.35">
      <c r="A18">
        <v>16</v>
      </c>
      <c r="B18" t="s">
        <v>502</v>
      </c>
      <c r="C18" s="2" t="s">
        <v>11</v>
      </c>
    </row>
    <row r="19" spans="1:3" x14ac:dyDescent="0.35">
      <c r="A19">
        <v>17</v>
      </c>
      <c r="B19" t="s">
        <v>502</v>
      </c>
      <c r="C19" s="2" t="s">
        <v>11</v>
      </c>
    </row>
    <row r="20" spans="1:3" x14ac:dyDescent="0.35">
      <c r="A20">
        <v>18</v>
      </c>
      <c r="B20" t="s">
        <v>502</v>
      </c>
      <c r="C20" s="2" t="s">
        <v>11</v>
      </c>
    </row>
    <row r="21" spans="1:3" x14ac:dyDescent="0.35">
      <c r="A21">
        <v>19</v>
      </c>
      <c r="B21" t="s">
        <v>502</v>
      </c>
      <c r="C21" s="2" t="s">
        <v>11</v>
      </c>
    </row>
    <row r="22" spans="1:3" x14ac:dyDescent="0.35">
      <c r="A22">
        <v>20</v>
      </c>
      <c r="B22" t="s">
        <v>502</v>
      </c>
      <c r="C22" s="2" t="s">
        <v>11</v>
      </c>
    </row>
    <row r="23" spans="1:3" x14ac:dyDescent="0.35">
      <c r="A23">
        <v>21</v>
      </c>
      <c r="B23" t="s">
        <v>502</v>
      </c>
      <c r="C23" s="2" t="s">
        <v>11</v>
      </c>
    </row>
    <row r="24" spans="1:3" x14ac:dyDescent="0.35">
      <c r="A24">
        <v>22</v>
      </c>
      <c r="B24" t="s">
        <v>502</v>
      </c>
      <c r="C24" s="2" t="s">
        <v>11</v>
      </c>
    </row>
    <row r="25" spans="1:3" x14ac:dyDescent="0.35">
      <c r="A25">
        <v>23</v>
      </c>
      <c r="B25" t="s">
        <v>502</v>
      </c>
      <c r="C25" s="2" t="s">
        <v>11</v>
      </c>
    </row>
    <row r="26" spans="1:3" x14ac:dyDescent="0.35">
      <c r="A26">
        <v>24</v>
      </c>
      <c r="B26" t="s">
        <v>502</v>
      </c>
      <c r="C26" s="2" t="s">
        <v>11</v>
      </c>
    </row>
    <row r="27" spans="1:3" x14ac:dyDescent="0.35">
      <c r="A27">
        <v>25</v>
      </c>
      <c r="B27" t="s">
        <v>502</v>
      </c>
      <c r="C27" s="2" t="s">
        <v>11</v>
      </c>
    </row>
    <row r="28" spans="1:3" x14ac:dyDescent="0.35">
      <c r="A28">
        <v>26</v>
      </c>
      <c r="B28" t="s">
        <v>502</v>
      </c>
      <c r="C28" s="2" t="s">
        <v>11</v>
      </c>
    </row>
    <row r="29" spans="1:3" x14ac:dyDescent="0.35">
      <c r="A29">
        <v>27</v>
      </c>
      <c r="B29" t="s">
        <v>502</v>
      </c>
      <c r="C29" s="2" t="s">
        <v>11</v>
      </c>
    </row>
    <row r="30" spans="1:3" x14ac:dyDescent="0.35">
      <c r="A30">
        <v>28</v>
      </c>
      <c r="B30" t="s">
        <v>502</v>
      </c>
      <c r="C30" s="2" t="s">
        <v>11</v>
      </c>
    </row>
    <row r="31" spans="1:3" x14ac:dyDescent="0.35">
      <c r="A31">
        <v>29</v>
      </c>
      <c r="B31" t="s">
        <v>502</v>
      </c>
      <c r="C31" s="2" t="s">
        <v>11</v>
      </c>
    </row>
    <row r="32" spans="1:3" x14ac:dyDescent="0.35">
      <c r="A32">
        <v>30</v>
      </c>
      <c r="B32" t="s">
        <v>502</v>
      </c>
      <c r="C32" s="2" t="s">
        <v>11</v>
      </c>
    </row>
    <row r="33" spans="1:10" x14ac:dyDescent="0.35">
      <c r="A33">
        <v>31</v>
      </c>
      <c r="B33" t="s">
        <v>502</v>
      </c>
      <c r="C33" s="2" t="s">
        <v>11</v>
      </c>
    </row>
    <row r="36" spans="1:10" x14ac:dyDescent="0.35">
      <c r="C36" s="5" t="s">
        <v>7</v>
      </c>
      <c r="D36" s="6">
        <f>COUNTIF(E3:E33,1)</f>
        <v>0</v>
      </c>
    </row>
    <row r="37" spans="1:10" x14ac:dyDescent="0.35">
      <c r="C37" s="5" t="s">
        <v>8</v>
      </c>
      <c r="D37" s="6">
        <f>COUNTIF(E3:E33,1) + COUNTIF(G3:G33,1)</f>
        <v>0</v>
      </c>
    </row>
    <row r="38" spans="1:10" x14ac:dyDescent="0.35">
      <c r="C38" s="5" t="s">
        <v>10</v>
      </c>
      <c r="D38" s="6">
        <f>COUNTIF(F3:F33,1) + COUNTIF(H3:H33,1) + COUNTIF(I3:I33,1) + COUNTIF(J3:J33,1)</f>
        <v>0</v>
      </c>
    </row>
    <row r="39" spans="1:10" x14ac:dyDescent="0.35">
      <c r="C39" s="5" t="s">
        <v>9</v>
      </c>
      <c r="D39" s="6">
        <f>COUNTIF(F3:F33,1) + COUNTIF(H3:H33,1)</f>
        <v>0</v>
      </c>
    </row>
    <row r="40" spans="1:10" x14ac:dyDescent="0.35">
      <c r="C40" s="5" t="s">
        <v>209</v>
      </c>
      <c r="D40" s="6">
        <f>COUNTIF(F3:F33,1) + COUNTIF(E3:E33,1) + COUNTIF(G3:G33,1) + COUNTIF(H3:H33,1) + COUNTIF(I3:I33,1) + COUNTIF(J3:J33,1)</f>
        <v>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502</v>
      </c>
      <c r="C43" s="4" t="s">
        <v>28</v>
      </c>
    </row>
    <row r="44" spans="1:10" x14ac:dyDescent="0.35">
      <c r="A44">
        <v>2</v>
      </c>
      <c r="B44" t="s">
        <v>502</v>
      </c>
      <c r="C44" s="4" t="s">
        <v>28</v>
      </c>
    </row>
    <row r="45" spans="1:10" x14ac:dyDescent="0.35">
      <c r="A45">
        <v>3</v>
      </c>
      <c r="B45" t="s">
        <v>502</v>
      </c>
      <c r="C45" s="4" t="s">
        <v>28</v>
      </c>
    </row>
    <row r="46" spans="1:10" x14ac:dyDescent="0.35">
      <c r="A46">
        <v>4</v>
      </c>
      <c r="B46" t="s">
        <v>502</v>
      </c>
      <c r="C46" s="4" t="s">
        <v>28</v>
      </c>
    </row>
    <row r="47" spans="1:10" x14ac:dyDescent="0.35">
      <c r="A47">
        <v>5</v>
      </c>
      <c r="B47" t="s">
        <v>502</v>
      </c>
      <c r="C47" s="4" t="s">
        <v>28</v>
      </c>
    </row>
    <row r="48" spans="1:10" x14ac:dyDescent="0.35">
      <c r="A48">
        <v>6</v>
      </c>
      <c r="B48" t="s">
        <v>502</v>
      </c>
      <c r="C48" s="4" t="s">
        <v>28</v>
      </c>
    </row>
    <row r="49" spans="1:3" x14ac:dyDescent="0.35">
      <c r="A49">
        <v>7</v>
      </c>
      <c r="B49" t="s">
        <v>502</v>
      </c>
      <c r="C49" s="4" t="s">
        <v>28</v>
      </c>
    </row>
    <row r="50" spans="1:3" x14ac:dyDescent="0.35">
      <c r="A50">
        <v>8</v>
      </c>
      <c r="B50" t="s">
        <v>502</v>
      </c>
      <c r="C50" s="4" t="s">
        <v>28</v>
      </c>
    </row>
    <row r="51" spans="1:3" x14ac:dyDescent="0.35">
      <c r="A51">
        <v>9</v>
      </c>
      <c r="B51" t="s">
        <v>502</v>
      </c>
      <c r="C51" s="4" t="s">
        <v>28</v>
      </c>
    </row>
    <row r="52" spans="1:3" x14ac:dyDescent="0.35">
      <c r="A52">
        <v>10</v>
      </c>
      <c r="B52" t="s">
        <v>502</v>
      </c>
      <c r="C52" s="4" t="s">
        <v>28</v>
      </c>
    </row>
    <row r="53" spans="1:3" x14ac:dyDescent="0.35">
      <c r="A53">
        <v>11</v>
      </c>
      <c r="B53" t="s">
        <v>502</v>
      </c>
      <c r="C53" s="4" t="s">
        <v>28</v>
      </c>
    </row>
    <row r="54" spans="1:3" x14ac:dyDescent="0.35">
      <c r="A54">
        <v>12</v>
      </c>
      <c r="B54" t="s">
        <v>502</v>
      </c>
      <c r="C54" s="4" t="s">
        <v>28</v>
      </c>
    </row>
    <row r="55" spans="1:3" x14ac:dyDescent="0.35">
      <c r="A55">
        <v>13</v>
      </c>
      <c r="B55" t="s">
        <v>502</v>
      </c>
      <c r="C55" s="4" t="s">
        <v>28</v>
      </c>
    </row>
    <row r="56" spans="1:3" x14ac:dyDescent="0.35">
      <c r="A56">
        <v>14</v>
      </c>
      <c r="B56" t="s">
        <v>502</v>
      </c>
      <c r="C56" s="4" t="s">
        <v>28</v>
      </c>
    </row>
    <row r="57" spans="1:3" x14ac:dyDescent="0.35">
      <c r="A57">
        <v>15</v>
      </c>
      <c r="B57" t="s">
        <v>502</v>
      </c>
      <c r="C57" s="4" t="s">
        <v>28</v>
      </c>
    </row>
    <row r="58" spans="1:3" x14ac:dyDescent="0.35">
      <c r="A58">
        <v>16</v>
      </c>
      <c r="B58" t="s">
        <v>502</v>
      </c>
      <c r="C58" s="4" t="s">
        <v>28</v>
      </c>
    </row>
    <row r="59" spans="1:3" x14ac:dyDescent="0.35">
      <c r="A59">
        <v>17</v>
      </c>
      <c r="B59" t="s">
        <v>502</v>
      </c>
      <c r="C59" s="4" t="s">
        <v>28</v>
      </c>
    </row>
    <row r="60" spans="1:3" x14ac:dyDescent="0.35">
      <c r="A60">
        <v>18</v>
      </c>
      <c r="B60" t="s">
        <v>502</v>
      </c>
      <c r="C60" s="4" t="s">
        <v>28</v>
      </c>
    </row>
    <row r="61" spans="1:3" x14ac:dyDescent="0.35">
      <c r="A61">
        <v>19</v>
      </c>
      <c r="B61" t="s">
        <v>502</v>
      </c>
      <c r="C61" s="4" t="s">
        <v>28</v>
      </c>
    </row>
    <row r="62" spans="1:3" x14ac:dyDescent="0.35">
      <c r="A62">
        <v>20</v>
      </c>
      <c r="B62" t="s">
        <v>502</v>
      </c>
      <c r="C62" s="4" t="s">
        <v>28</v>
      </c>
    </row>
    <row r="63" spans="1:3" x14ac:dyDescent="0.35">
      <c r="A63">
        <v>21</v>
      </c>
      <c r="B63" t="s">
        <v>502</v>
      </c>
      <c r="C63" s="4" t="s">
        <v>28</v>
      </c>
    </row>
    <row r="64" spans="1:3" x14ac:dyDescent="0.35">
      <c r="A64">
        <v>22</v>
      </c>
      <c r="B64" t="s">
        <v>502</v>
      </c>
      <c r="C64" s="4" t="s">
        <v>28</v>
      </c>
    </row>
    <row r="65" spans="1:4" x14ac:dyDescent="0.35">
      <c r="A65">
        <v>23</v>
      </c>
      <c r="B65" t="s">
        <v>502</v>
      </c>
      <c r="C65" s="4" t="s">
        <v>28</v>
      </c>
    </row>
    <row r="66" spans="1:4" x14ac:dyDescent="0.35">
      <c r="A66">
        <v>24</v>
      </c>
      <c r="B66" t="s">
        <v>502</v>
      </c>
      <c r="C66" s="4" t="s">
        <v>28</v>
      </c>
    </row>
    <row r="67" spans="1:4" x14ac:dyDescent="0.35">
      <c r="A67">
        <v>25</v>
      </c>
      <c r="B67" t="s">
        <v>502</v>
      </c>
      <c r="C67" s="4" t="s">
        <v>28</v>
      </c>
    </row>
    <row r="68" spans="1:4" x14ac:dyDescent="0.35">
      <c r="A68">
        <v>26</v>
      </c>
      <c r="B68" t="s">
        <v>502</v>
      </c>
      <c r="C68" s="4" t="s">
        <v>28</v>
      </c>
    </row>
    <row r="69" spans="1:4" x14ac:dyDescent="0.35">
      <c r="A69">
        <v>27</v>
      </c>
      <c r="B69" t="s">
        <v>502</v>
      </c>
      <c r="C69" s="4" t="s">
        <v>28</v>
      </c>
    </row>
    <row r="70" spans="1:4" x14ac:dyDescent="0.35">
      <c r="A70">
        <v>28</v>
      </c>
      <c r="B70" t="s">
        <v>502</v>
      </c>
      <c r="C70" s="4" t="s">
        <v>28</v>
      </c>
    </row>
    <row r="71" spans="1:4" x14ac:dyDescent="0.35">
      <c r="A71">
        <v>29</v>
      </c>
      <c r="B71" t="s">
        <v>502</v>
      </c>
      <c r="C71" s="4" t="s">
        <v>28</v>
      </c>
    </row>
    <row r="72" spans="1:4" x14ac:dyDescent="0.35">
      <c r="A72">
        <v>30</v>
      </c>
      <c r="B72" t="s">
        <v>502</v>
      </c>
      <c r="C72" s="4" t="s">
        <v>28</v>
      </c>
    </row>
    <row r="76" spans="1:4" x14ac:dyDescent="0.35">
      <c r="C76" s="5" t="s">
        <v>7</v>
      </c>
      <c r="D76" s="6">
        <f>COUNTIF(E43:E72,1)</f>
        <v>0</v>
      </c>
    </row>
    <row r="77" spans="1:4" x14ac:dyDescent="0.35">
      <c r="C77" s="5" t="s">
        <v>8</v>
      </c>
      <c r="D77" s="6">
        <f>COUNTIF(E43:E72,1) + COUNTIF(G43:G72,1)</f>
        <v>0</v>
      </c>
    </row>
    <row r="78" spans="1:4" x14ac:dyDescent="0.35">
      <c r="C78" s="5" t="s">
        <v>10</v>
      </c>
      <c r="D78" s="6">
        <f>COUNTIF(F43:F72,1) + COUNTIF(H43:H72,1) + COUNTIF(I43:I72,1) + COUNTIF(J43:J72,1)</f>
        <v>0</v>
      </c>
    </row>
    <row r="79" spans="1:4" x14ac:dyDescent="0.35">
      <c r="C79" s="5" t="s">
        <v>9</v>
      </c>
      <c r="D79" s="6">
        <f>COUNTIF(F43:F72,1) + COUNTIF(H43:H72,1)</f>
        <v>0</v>
      </c>
    </row>
    <row r="80" spans="1:4" x14ac:dyDescent="0.35">
      <c r="C80" s="5" t="s">
        <v>209</v>
      </c>
      <c r="D80" s="6">
        <f>COUNTIF(F43:F72,1) + COUNTIF(E43:E72,1) + COUNTIF(G43:G72,1) + COUNTIF(H43:H72,1) + COUNTIF(I43:I72,1) + COUNTIF(J43:J72,1)</f>
        <v>0</v>
      </c>
    </row>
  </sheetData>
  <phoneticPr fontId="1" type="noConversion"/>
  <conditionalFormatting sqref="E3:E33">
    <cfRule type="cellIs" dxfId="31" priority="7" operator="between">
      <formula>1</formula>
      <formula>1</formula>
    </cfRule>
  </conditionalFormatting>
  <conditionalFormatting sqref="E43:E73">
    <cfRule type="cellIs" dxfId="30" priority="4" operator="between">
      <formula>1</formula>
      <formula>1</formula>
    </cfRule>
  </conditionalFormatting>
  <conditionalFormatting sqref="F3:F33">
    <cfRule type="cellIs" dxfId="29" priority="5" operator="between">
      <formula>1</formula>
      <formula>1</formula>
    </cfRule>
  </conditionalFormatting>
  <conditionalFormatting sqref="F43:F73">
    <cfRule type="cellIs" dxfId="28" priority="3" operator="between">
      <formula>1</formula>
      <formula>1</formula>
    </cfRule>
  </conditionalFormatting>
  <conditionalFormatting sqref="G3:G33">
    <cfRule type="cellIs" dxfId="27" priority="8" operator="between">
      <formula>1</formula>
      <formula>2</formula>
    </cfRule>
  </conditionalFormatting>
  <conditionalFormatting sqref="G43:G73">
    <cfRule type="cellIs" dxfId="26" priority="2" operator="between">
      <formula>1</formula>
      <formula>1</formula>
    </cfRule>
  </conditionalFormatting>
  <conditionalFormatting sqref="H3:J33">
    <cfRule type="cellIs" dxfId="25" priority="6" operator="between">
      <formula>1</formula>
      <formula>1</formula>
    </cfRule>
  </conditionalFormatting>
  <conditionalFormatting sqref="H43:J73">
    <cfRule type="cellIs" dxfId="24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3E45-0C37-477C-AED7-9EE9DBA67EEE}">
  <dimension ref="A2:J80"/>
  <sheetViews>
    <sheetView topLeftCell="D1" zoomScale="89" zoomScaleNormal="89" workbookViewId="0">
      <selection activeCell="E41" sqref="E41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503</v>
      </c>
      <c r="C3" s="2" t="s">
        <v>11</v>
      </c>
      <c r="D3" t="s">
        <v>603</v>
      </c>
      <c r="I3">
        <v>1</v>
      </c>
    </row>
    <row r="4" spans="1:10" x14ac:dyDescent="0.35">
      <c r="A4">
        <v>2</v>
      </c>
      <c r="B4" t="s">
        <v>503</v>
      </c>
      <c r="C4" s="2" t="s">
        <v>11</v>
      </c>
      <c r="D4" t="s">
        <v>602</v>
      </c>
      <c r="I4">
        <v>1</v>
      </c>
    </row>
    <row r="5" spans="1:10" x14ac:dyDescent="0.35">
      <c r="A5">
        <v>3</v>
      </c>
      <c r="B5" t="s">
        <v>503</v>
      </c>
      <c r="C5" s="2" t="s">
        <v>11</v>
      </c>
      <c r="D5" t="s">
        <v>601</v>
      </c>
      <c r="I5">
        <v>1</v>
      </c>
    </row>
    <row r="6" spans="1:10" x14ac:dyDescent="0.35">
      <c r="A6">
        <v>4</v>
      </c>
      <c r="B6" t="s">
        <v>503</v>
      </c>
      <c r="C6" s="2" t="s">
        <v>11</v>
      </c>
      <c r="D6" t="s">
        <v>600</v>
      </c>
      <c r="I6">
        <v>1</v>
      </c>
    </row>
    <row r="7" spans="1:10" x14ac:dyDescent="0.35">
      <c r="A7">
        <v>5</v>
      </c>
      <c r="B7" t="s">
        <v>503</v>
      </c>
      <c r="C7" s="2" t="s">
        <v>11</v>
      </c>
      <c r="D7" t="s">
        <v>599</v>
      </c>
      <c r="I7">
        <v>1</v>
      </c>
    </row>
    <row r="8" spans="1:10" x14ac:dyDescent="0.35">
      <c r="A8">
        <v>6</v>
      </c>
      <c r="B8" t="s">
        <v>503</v>
      </c>
      <c r="C8" s="2" t="s">
        <v>11</v>
      </c>
      <c r="D8" t="s">
        <v>598</v>
      </c>
      <c r="I8">
        <v>1</v>
      </c>
    </row>
    <row r="9" spans="1:10" x14ac:dyDescent="0.35">
      <c r="A9">
        <v>7</v>
      </c>
      <c r="B9" t="s">
        <v>503</v>
      </c>
      <c r="C9" s="2" t="s">
        <v>11</v>
      </c>
      <c r="D9" t="s">
        <v>597</v>
      </c>
      <c r="I9">
        <v>1</v>
      </c>
    </row>
    <row r="10" spans="1:10" x14ac:dyDescent="0.35">
      <c r="A10">
        <v>8</v>
      </c>
      <c r="B10" t="s">
        <v>503</v>
      </c>
      <c r="C10" s="2" t="s">
        <v>11</v>
      </c>
      <c r="D10" t="s">
        <v>596</v>
      </c>
      <c r="I10">
        <v>1</v>
      </c>
    </row>
    <row r="11" spans="1:10" x14ac:dyDescent="0.35">
      <c r="A11">
        <v>9</v>
      </c>
      <c r="B11" t="s">
        <v>503</v>
      </c>
      <c r="C11" s="2" t="s">
        <v>11</v>
      </c>
      <c r="D11" t="s">
        <v>595</v>
      </c>
      <c r="I11">
        <v>1</v>
      </c>
    </row>
    <row r="12" spans="1:10" x14ac:dyDescent="0.35">
      <c r="A12">
        <v>10</v>
      </c>
      <c r="B12" t="s">
        <v>503</v>
      </c>
      <c r="C12" s="2" t="s">
        <v>11</v>
      </c>
      <c r="D12" t="s">
        <v>594</v>
      </c>
      <c r="I12">
        <v>1</v>
      </c>
    </row>
    <row r="13" spans="1:10" x14ac:dyDescent="0.35">
      <c r="A13">
        <v>11</v>
      </c>
      <c r="B13" t="s">
        <v>503</v>
      </c>
      <c r="C13" s="2" t="s">
        <v>11</v>
      </c>
      <c r="D13" t="s">
        <v>593</v>
      </c>
      <c r="I13">
        <v>1</v>
      </c>
    </row>
    <row r="14" spans="1:10" x14ac:dyDescent="0.35">
      <c r="A14">
        <v>12</v>
      </c>
      <c r="B14" t="s">
        <v>503</v>
      </c>
      <c r="C14" s="2" t="s">
        <v>11</v>
      </c>
      <c r="D14" t="s">
        <v>592</v>
      </c>
      <c r="I14">
        <v>1</v>
      </c>
    </row>
    <row r="15" spans="1:10" x14ac:dyDescent="0.35">
      <c r="A15">
        <v>13</v>
      </c>
      <c r="B15" t="s">
        <v>503</v>
      </c>
      <c r="C15" s="2" t="s">
        <v>11</v>
      </c>
      <c r="D15" t="s">
        <v>591</v>
      </c>
      <c r="I15">
        <v>1</v>
      </c>
    </row>
    <row r="16" spans="1:10" x14ac:dyDescent="0.35">
      <c r="A16">
        <v>14</v>
      </c>
      <c r="B16" t="s">
        <v>503</v>
      </c>
      <c r="C16" s="2" t="s">
        <v>11</v>
      </c>
      <c r="D16" t="s">
        <v>590</v>
      </c>
      <c r="I16">
        <v>1</v>
      </c>
    </row>
    <row r="17" spans="1:10" x14ac:dyDescent="0.35">
      <c r="A17">
        <v>15</v>
      </c>
      <c r="B17" t="s">
        <v>503</v>
      </c>
      <c r="C17" s="2" t="s">
        <v>11</v>
      </c>
      <c r="D17" t="s">
        <v>589</v>
      </c>
      <c r="I17">
        <v>1</v>
      </c>
    </row>
    <row r="18" spans="1:10" x14ac:dyDescent="0.35">
      <c r="A18">
        <v>16</v>
      </c>
      <c r="B18" t="s">
        <v>503</v>
      </c>
      <c r="C18" s="2" t="s">
        <v>11</v>
      </c>
      <c r="D18" t="s">
        <v>588</v>
      </c>
      <c r="I18">
        <v>1</v>
      </c>
    </row>
    <row r="19" spans="1:10" x14ac:dyDescent="0.35">
      <c r="A19">
        <v>17</v>
      </c>
      <c r="B19" t="s">
        <v>503</v>
      </c>
      <c r="C19" s="2" t="s">
        <v>11</v>
      </c>
      <c r="D19" t="s">
        <v>587</v>
      </c>
      <c r="I19">
        <v>1</v>
      </c>
    </row>
    <row r="20" spans="1:10" x14ac:dyDescent="0.35">
      <c r="A20">
        <v>18</v>
      </c>
      <c r="B20" t="s">
        <v>503</v>
      </c>
      <c r="C20" s="2" t="s">
        <v>11</v>
      </c>
      <c r="D20" t="s">
        <v>586</v>
      </c>
      <c r="I20">
        <v>1</v>
      </c>
    </row>
    <row r="21" spans="1:10" x14ac:dyDescent="0.35">
      <c r="A21">
        <v>19</v>
      </c>
      <c r="B21" t="s">
        <v>503</v>
      </c>
      <c r="C21" s="2" t="s">
        <v>11</v>
      </c>
      <c r="D21" t="s">
        <v>585</v>
      </c>
      <c r="J21">
        <v>1</v>
      </c>
    </row>
    <row r="22" spans="1:10" x14ac:dyDescent="0.35">
      <c r="A22">
        <v>20</v>
      </c>
      <c r="B22" t="s">
        <v>503</v>
      </c>
      <c r="C22" s="2" t="s">
        <v>11</v>
      </c>
      <c r="D22" t="s">
        <v>584</v>
      </c>
      <c r="I22">
        <v>1</v>
      </c>
    </row>
    <row r="23" spans="1:10" x14ac:dyDescent="0.35">
      <c r="A23">
        <v>21</v>
      </c>
      <c r="B23" t="s">
        <v>503</v>
      </c>
      <c r="C23" s="2" t="s">
        <v>11</v>
      </c>
      <c r="D23" t="s">
        <v>583</v>
      </c>
      <c r="I23">
        <v>1</v>
      </c>
    </row>
    <row r="24" spans="1:10" x14ac:dyDescent="0.35">
      <c r="A24">
        <v>22</v>
      </c>
      <c r="B24" t="s">
        <v>503</v>
      </c>
      <c r="C24" s="2" t="s">
        <v>11</v>
      </c>
      <c r="D24" t="s">
        <v>582</v>
      </c>
      <c r="I24">
        <v>1</v>
      </c>
    </row>
    <row r="25" spans="1:10" x14ac:dyDescent="0.35">
      <c r="A25">
        <v>23</v>
      </c>
      <c r="B25" t="s">
        <v>503</v>
      </c>
      <c r="C25" s="2" t="s">
        <v>11</v>
      </c>
      <c r="D25" t="s">
        <v>581</v>
      </c>
      <c r="G25">
        <v>1</v>
      </c>
    </row>
    <row r="26" spans="1:10" x14ac:dyDescent="0.35">
      <c r="A26">
        <v>24</v>
      </c>
      <c r="B26" t="s">
        <v>503</v>
      </c>
      <c r="C26" s="2" t="s">
        <v>11</v>
      </c>
      <c r="D26" t="s">
        <v>580</v>
      </c>
      <c r="I26">
        <v>1</v>
      </c>
    </row>
    <row r="27" spans="1:10" x14ac:dyDescent="0.35">
      <c r="A27">
        <v>25</v>
      </c>
      <c r="B27" t="s">
        <v>503</v>
      </c>
      <c r="C27" s="2" t="s">
        <v>11</v>
      </c>
      <c r="D27" t="s">
        <v>579</v>
      </c>
      <c r="E27">
        <v>1</v>
      </c>
    </row>
    <row r="28" spans="1:10" x14ac:dyDescent="0.35">
      <c r="A28">
        <v>26</v>
      </c>
      <c r="B28" t="s">
        <v>503</v>
      </c>
      <c r="C28" s="2" t="s">
        <v>11</v>
      </c>
      <c r="D28" t="s">
        <v>578</v>
      </c>
      <c r="I28">
        <v>1</v>
      </c>
    </row>
    <row r="29" spans="1:10" x14ac:dyDescent="0.35">
      <c r="A29">
        <v>27</v>
      </c>
      <c r="B29" t="s">
        <v>503</v>
      </c>
      <c r="C29" s="2" t="s">
        <v>11</v>
      </c>
      <c r="D29" t="s">
        <v>577</v>
      </c>
      <c r="G29">
        <v>1</v>
      </c>
    </row>
    <row r="30" spans="1:10" x14ac:dyDescent="0.35">
      <c r="A30">
        <v>28</v>
      </c>
      <c r="B30" t="s">
        <v>503</v>
      </c>
      <c r="C30" s="2" t="s">
        <v>11</v>
      </c>
      <c r="D30" t="s">
        <v>576</v>
      </c>
      <c r="I30">
        <v>1</v>
      </c>
    </row>
    <row r="31" spans="1:10" x14ac:dyDescent="0.35">
      <c r="A31">
        <v>29</v>
      </c>
      <c r="B31" t="s">
        <v>503</v>
      </c>
      <c r="C31" s="2" t="s">
        <v>11</v>
      </c>
      <c r="D31" t="s">
        <v>575</v>
      </c>
      <c r="H31">
        <v>1</v>
      </c>
    </row>
    <row r="32" spans="1:10" x14ac:dyDescent="0.35">
      <c r="A32">
        <v>30</v>
      </c>
      <c r="B32" t="s">
        <v>503</v>
      </c>
      <c r="C32" s="2" t="s">
        <v>11</v>
      </c>
      <c r="D32" t="s">
        <v>574</v>
      </c>
      <c r="I32">
        <v>1</v>
      </c>
    </row>
    <row r="33" spans="1:10" x14ac:dyDescent="0.35">
      <c r="A33">
        <v>31</v>
      </c>
      <c r="B33" t="s">
        <v>503</v>
      </c>
      <c r="C33" s="2" t="s">
        <v>11</v>
      </c>
      <c r="D33" t="s">
        <v>573</v>
      </c>
      <c r="E33">
        <v>1</v>
      </c>
    </row>
    <row r="36" spans="1:10" x14ac:dyDescent="0.35">
      <c r="C36" s="5" t="s">
        <v>7</v>
      </c>
      <c r="D36" s="6">
        <f>COUNTIF(E3:E33,1)</f>
        <v>2</v>
      </c>
      <c r="E36" s="6">
        <f>COUNTIF(E3:E22,1)</f>
        <v>0</v>
      </c>
    </row>
    <row r="37" spans="1:10" x14ac:dyDescent="0.35">
      <c r="C37" s="5" t="s">
        <v>8</v>
      </c>
      <c r="D37" s="6">
        <f>COUNTIF(E3:E33,1) + COUNTIF(G3:G33,1)</f>
        <v>4</v>
      </c>
      <c r="E37" s="6">
        <f>COUNTIF(E3:E22,1) + COUNTIF(G3:G22,1)</f>
        <v>0</v>
      </c>
    </row>
    <row r="38" spans="1:10" x14ac:dyDescent="0.35">
      <c r="C38" s="5" t="s">
        <v>10</v>
      </c>
      <c r="D38" s="6">
        <f>COUNTIF(F3:F33,1) + COUNTIF(H3:H33,1) + COUNTIF(I3:I33,1) + COUNTIF(J3:J33,1)</f>
        <v>27</v>
      </c>
      <c r="E38" s="6">
        <f>COUNTIF(F3:F22,1) + COUNTIF(H3:H22,1) + COUNTIF(I3:I22,1) + COUNTIF(J3:J22,1)</f>
        <v>20</v>
      </c>
    </row>
    <row r="39" spans="1:10" x14ac:dyDescent="0.35">
      <c r="C39" s="5" t="s">
        <v>9</v>
      </c>
      <c r="D39" s="6">
        <f>COUNTIF(F3:F33,1) + COUNTIF(H3:H33,1)</f>
        <v>1</v>
      </c>
      <c r="E39" s="6">
        <f>COUNTIF(F3:F22,1) + COUNTIF(H3:H22,1)</f>
        <v>0</v>
      </c>
    </row>
    <row r="40" spans="1:10" x14ac:dyDescent="0.35">
      <c r="C40" s="5" t="s">
        <v>209</v>
      </c>
      <c r="D40" s="6">
        <f>COUNTIF(E3:E22,1) + COUNTIF(E3:E33,1) + COUNTIF(G3:G33,1) + COUNTIF(H3:H33,1) + COUNTIF(I3:I33,1) + COUNTIF(J3:J33,1)</f>
        <v>31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503</v>
      </c>
      <c r="C43" s="4" t="s">
        <v>28</v>
      </c>
      <c r="D43" t="s">
        <v>604</v>
      </c>
      <c r="I43">
        <v>1</v>
      </c>
    </row>
    <row r="44" spans="1:10" x14ac:dyDescent="0.35">
      <c r="A44">
        <v>2</v>
      </c>
      <c r="B44" t="s">
        <v>503</v>
      </c>
      <c r="C44" s="4" t="s">
        <v>28</v>
      </c>
      <c r="D44" t="s">
        <v>605</v>
      </c>
      <c r="I44">
        <v>1</v>
      </c>
    </row>
    <row r="45" spans="1:10" x14ac:dyDescent="0.35">
      <c r="A45">
        <v>3</v>
      </c>
      <c r="B45" t="s">
        <v>503</v>
      </c>
      <c r="C45" s="4" t="s">
        <v>28</v>
      </c>
      <c r="D45" t="s">
        <v>606</v>
      </c>
      <c r="I45">
        <v>1</v>
      </c>
    </row>
    <row r="46" spans="1:10" x14ac:dyDescent="0.35">
      <c r="A46">
        <v>4</v>
      </c>
      <c r="B46" t="s">
        <v>503</v>
      </c>
      <c r="C46" s="4" t="s">
        <v>28</v>
      </c>
      <c r="D46" t="s">
        <v>607</v>
      </c>
      <c r="I46">
        <v>1</v>
      </c>
    </row>
    <row r="47" spans="1:10" x14ac:dyDescent="0.35">
      <c r="A47">
        <v>5</v>
      </c>
      <c r="B47" t="s">
        <v>503</v>
      </c>
      <c r="C47" s="4" t="s">
        <v>28</v>
      </c>
      <c r="D47" t="s">
        <v>608</v>
      </c>
      <c r="I47">
        <v>1</v>
      </c>
    </row>
    <row r="48" spans="1:10" x14ac:dyDescent="0.35">
      <c r="A48">
        <v>6</v>
      </c>
      <c r="B48" t="s">
        <v>503</v>
      </c>
      <c r="C48" s="4" t="s">
        <v>28</v>
      </c>
      <c r="D48" t="s">
        <v>609</v>
      </c>
      <c r="J48">
        <v>1</v>
      </c>
    </row>
    <row r="49" spans="1:9" x14ac:dyDescent="0.35">
      <c r="A49">
        <v>7</v>
      </c>
      <c r="B49" t="s">
        <v>503</v>
      </c>
      <c r="C49" s="4" t="s">
        <v>28</v>
      </c>
      <c r="D49" t="s">
        <v>610</v>
      </c>
      <c r="I49">
        <v>1</v>
      </c>
    </row>
    <row r="50" spans="1:9" x14ac:dyDescent="0.35">
      <c r="A50">
        <v>8</v>
      </c>
      <c r="B50" t="s">
        <v>503</v>
      </c>
      <c r="C50" s="4" t="s">
        <v>28</v>
      </c>
      <c r="D50" t="s">
        <v>611</v>
      </c>
      <c r="I50">
        <v>1</v>
      </c>
    </row>
    <row r="51" spans="1:9" x14ac:dyDescent="0.35">
      <c r="A51">
        <v>9</v>
      </c>
      <c r="B51" t="s">
        <v>503</v>
      </c>
      <c r="C51" s="4" t="s">
        <v>28</v>
      </c>
      <c r="D51" t="s">
        <v>612</v>
      </c>
      <c r="I51">
        <v>1</v>
      </c>
    </row>
    <row r="52" spans="1:9" x14ac:dyDescent="0.35">
      <c r="A52">
        <v>10</v>
      </c>
      <c r="B52" t="s">
        <v>503</v>
      </c>
      <c r="C52" s="4" t="s">
        <v>28</v>
      </c>
      <c r="D52" t="s">
        <v>613</v>
      </c>
      <c r="I52">
        <v>1</v>
      </c>
    </row>
    <row r="53" spans="1:9" x14ac:dyDescent="0.35">
      <c r="A53">
        <v>11</v>
      </c>
      <c r="B53" t="s">
        <v>503</v>
      </c>
      <c r="C53" s="4" t="s">
        <v>28</v>
      </c>
      <c r="D53" t="s">
        <v>614</v>
      </c>
      <c r="I53">
        <v>1</v>
      </c>
    </row>
    <row r="54" spans="1:9" x14ac:dyDescent="0.35">
      <c r="A54">
        <v>12</v>
      </c>
      <c r="B54" t="s">
        <v>503</v>
      </c>
      <c r="C54" s="4" t="s">
        <v>28</v>
      </c>
      <c r="D54" t="s">
        <v>615</v>
      </c>
      <c r="I54">
        <v>1</v>
      </c>
    </row>
    <row r="55" spans="1:9" x14ac:dyDescent="0.35">
      <c r="A55">
        <v>13</v>
      </c>
      <c r="B55" t="s">
        <v>503</v>
      </c>
      <c r="C55" s="4" t="s">
        <v>28</v>
      </c>
      <c r="D55" t="s">
        <v>616</v>
      </c>
      <c r="I55">
        <v>1</v>
      </c>
    </row>
    <row r="56" spans="1:9" x14ac:dyDescent="0.35">
      <c r="A56">
        <v>14</v>
      </c>
      <c r="B56" t="s">
        <v>503</v>
      </c>
      <c r="C56" s="4" t="s">
        <v>28</v>
      </c>
      <c r="D56" t="s">
        <v>617</v>
      </c>
      <c r="E56">
        <v>1</v>
      </c>
    </row>
    <row r="57" spans="1:9" x14ac:dyDescent="0.35">
      <c r="A57">
        <v>15</v>
      </c>
      <c r="B57" t="s">
        <v>503</v>
      </c>
      <c r="C57" s="4" t="s">
        <v>28</v>
      </c>
      <c r="D57" t="s">
        <v>618</v>
      </c>
      <c r="I57">
        <v>1</v>
      </c>
    </row>
    <row r="58" spans="1:9" x14ac:dyDescent="0.35">
      <c r="A58">
        <v>16</v>
      </c>
      <c r="B58" t="s">
        <v>503</v>
      </c>
      <c r="C58" s="4" t="s">
        <v>28</v>
      </c>
      <c r="D58" t="s">
        <v>619</v>
      </c>
      <c r="I58">
        <v>1</v>
      </c>
    </row>
    <row r="59" spans="1:9" x14ac:dyDescent="0.35">
      <c r="A59">
        <v>17</v>
      </c>
      <c r="B59" t="s">
        <v>503</v>
      </c>
      <c r="C59" s="4" t="s">
        <v>28</v>
      </c>
      <c r="D59" t="s">
        <v>620</v>
      </c>
      <c r="I59">
        <v>1</v>
      </c>
    </row>
    <row r="60" spans="1:9" x14ac:dyDescent="0.35">
      <c r="A60">
        <v>18</v>
      </c>
      <c r="B60" t="s">
        <v>503</v>
      </c>
      <c r="C60" s="4" t="s">
        <v>28</v>
      </c>
      <c r="D60" t="s">
        <v>621</v>
      </c>
      <c r="I60">
        <v>1</v>
      </c>
    </row>
    <row r="61" spans="1:9" x14ac:dyDescent="0.35">
      <c r="A61">
        <v>19</v>
      </c>
      <c r="B61" t="s">
        <v>503</v>
      </c>
      <c r="C61" s="4" t="s">
        <v>28</v>
      </c>
      <c r="D61" t="s">
        <v>622</v>
      </c>
      <c r="I61">
        <v>1</v>
      </c>
    </row>
    <row r="62" spans="1:9" x14ac:dyDescent="0.35">
      <c r="A62">
        <v>20</v>
      </c>
      <c r="B62" t="s">
        <v>503</v>
      </c>
      <c r="C62" s="4" t="s">
        <v>28</v>
      </c>
      <c r="D62" t="s">
        <v>623</v>
      </c>
      <c r="I62">
        <v>1</v>
      </c>
    </row>
    <row r="63" spans="1:9" x14ac:dyDescent="0.35">
      <c r="A63">
        <v>21</v>
      </c>
      <c r="B63" t="s">
        <v>503</v>
      </c>
      <c r="C63" s="4" t="s">
        <v>28</v>
      </c>
      <c r="D63" t="s">
        <v>624</v>
      </c>
      <c r="I63">
        <v>1</v>
      </c>
    </row>
    <row r="64" spans="1:9" x14ac:dyDescent="0.35">
      <c r="A64">
        <v>22</v>
      </c>
      <c r="B64" t="s">
        <v>503</v>
      </c>
      <c r="C64" s="4" t="s">
        <v>28</v>
      </c>
      <c r="D64" t="s">
        <v>625</v>
      </c>
      <c r="I64">
        <v>1</v>
      </c>
    </row>
    <row r="65" spans="1:9" x14ac:dyDescent="0.35">
      <c r="A65">
        <v>23</v>
      </c>
      <c r="B65" t="s">
        <v>503</v>
      </c>
      <c r="C65" s="4" t="s">
        <v>28</v>
      </c>
      <c r="D65" t="s">
        <v>626</v>
      </c>
      <c r="I65">
        <v>1</v>
      </c>
    </row>
    <row r="66" spans="1:9" x14ac:dyDescent="0.35">
      <c r="A66">
        <v>24</v>
      </c>
      <c r="B66" t="s">
        <v>503</v>
      </c>
      <c r="C66" s="4" t="s">
        <v>28</v>
      </c>
      <c r="D66" t="s">
        <v>627</v>
      </c>
      <c r="I66">
        <v>1</v>
      </c>
    </row>
    <row r="67" spans="1:9" x14ac:dyDescent="0.35">
      <c r="A67">
        <v>25</v>
      </c>
      <c r="B67" t="s">
        <v>503</v>
      </c>
      <c r="C67" s="4" t="s">
        <v>28</v>
      </c>
      <c r="D67" t="s">
        <v>628</v>
      </c>
      <c r="I67">
        <v>1</v>
      </c>
    </row>
    <row r="68" spans="1:9" x14ac:dyDescent="0.35">
      <c r="A68">
        <v>26</v>
      </c>
      <c r="B68" t="s">
        <v>503</v>
      </c>
      <c r="C68" s="4" t="s">
        <v>28</v>
      </c>
      <c r="D68" t="s">
        <v>629</v>
      </c>
      <c r="I68">
        <v>1</v>
      </c>
    </row>
    <row r="69" spans="1:9" x14ac:dyDescent="0.35">
      <c r="A69">
        <v>27</v>
      </c>
      <c r="B69" t="s">
        <v>503</v>
      </c>
      <c r="C69" s="4" t="s">
        <v>28</v>
      </c>
      <c r="D69" t="s">
        <v>630</v>
      </c>
      <c r="I69">
        <v>1</v>
      </c>
    </row>
    <row r="70" spans="1:9" x14ac:dyDescent="0.35">
      <c r="A70">
        <v>28</v>
      </c>
      <c r="B70" t="s">
        <v>503</v>
      </c>
      <c r="C70" s="4" t="s">
        <v>28</v>
      </c>
      <c r="D70" t="s">
        <v>631</v>
      </c>
      <c r="I70">
        <v>1</v>
      </c>
    </row>
    <row r="71" spans="1:9" x14ac:dyDescent="0.35">
      <c r="A71">
        <v>29</v>
      </c>
      <c r="B71" t="s">
        <v>503</v>
      </c>
      <c r="C71" s="4" t="s">
        <v>28</v>
      </c>
    </row>
    <row r="72" spans="1:9" x14ac:dyDescent="0.35">
      <c r="A72">
        <v>30</v>
      </c>
      <c r="B72" t="s">
        <v>503</v>
      </c>
      <c r="C72" s="4" t="s">
        <v>28</v>
      </c>
    </row>
    <row r="76" spans="1:9" x14ac:dyDescent="0.35">
      <c r="C76" s="5" t="s">
        <v>7</v>
      </c>
      <c r="D76" s="6">
        <f>COUNTIF(E43:E72,1)</f>
        <v>1</v>
      </c>
      <c r="E76" s="6">
        <f>COUNTIF(E43:E62,1)</f>
        <v>1</v>
      </c>
    </row>
    <row r="77" spans="1:9" x14ac:dyDescent="0.35">
      <c r="C77" s="5" t="s">
        <v>8</v>
      </c>
      <c r="D77" s="6">
        <f>COUNTIF(E43:E72,1) + COUNTIF(G43:G72,1)</f>
        <v>1</v>
      </c>
      <c r="E77" s="6">
        <f>COUNTIF(E43:E62,1) + COUNTIF(G43:G62,1)</f>
        <v>1</v>
      </c>
    </row>
    <row r="78" spans="1:9" x14ac:dyDescent="0.35">
      <c r="C78" s="5" t="s">
        <v>10</v>
      </c>
      <c r="D78" s="6">
        <f>COUNTIF(F43:F72,1) + COUNTIF(H43:H72,1) + COUNTIF(I43:I72,1) + COUNTIF(J43:J72,1)</f>
        <v>27</v>
      </c>
      <c r="E78" s="6">
        <f>COUNTIF(F43:F62,1) + COUNTIF(H43:H62,1) + COUNTIF(I43:I62,1) + COUNTIF(J43:J62,1)</f>
        <v>19</v>
      </c>
    </row>
    <row r="79" spans="1:9" x14ac:dyDescent="0.35">
      <c r="C79" s="5" t="s">
        <v>9</v>
      </c>
      <c r="D79" s="6">
        <f>COUNTIF(F43:F72,1) + COUNTIF(H43:H72,1)</f>
        <v>0</v>
      </c>
      <c r="E79" s="6">
        <f>COUNTIF(F43:F62,1) + COUNTIF(H43:H62,1)</f>
        <v>0</v>
      </c>
    </row>
    <row r="80" spans="1:9" x14ac:dyDescent="0.35">
      <c r="C80" s="5" t="s">
        <v>209</v>
      </c>
      <c r="D80" s="6">
        <f>COUNTIF(F43:F72,1) + COUNTIF(E43:E72,1) + COUNTIF(G43:G72,1) + COUNTIF(H43:H72,1) + COUNTIF(I43:I72,1) + COUNTIF(J43:J72,1)</f>
        <v>28</v>
      </c>
      <c r="E80" s="6">
        <f>COUNTIF(E43:E62,1) + COUNTIF(F43:F62,1) + COUNTIF(G43:G62,1) + COUNTIF(H43:H62,1) + COUNTIF(K43:K62,1) + COUNTIF(J43:J62,1) + COUNTIF(I43:I62,1)</f>
        <v>20</v>
      </c>
    </row>
  </sheetData>
  <phoneticPr fontId="1" type="noConversion"/>
  <conditionalFormatting sqref="E3:E33">
    <cfRule type="cellIs" dxfId="23" priority="7" operator="between">
      <formula>1</formula>
      <formula>1</formula>
    </cfRule>
  </conditionalFormatting>
  <conditionalFormatting sqref="E43:E73">
    <cfRule type="cellIs" dxfId="22" priority="4" operator="between">
      <formula>1</formula>
      <formula>1</formula>
    </cfRule>
  </conditionalFormatting>
  <conditionalFormatting sqref="F3:F33">
    <cfRule type="cellIs" dxfId="21" priority="5" operator="between">
      <formula>1</formula>
      <formula>1</formula>
    </cfRule>
  </conditionalFormatting>
  <conditionalFormatting sqref="F43:F73">
    <cfRule type="cellIs" dxfId="20" priority="3" operator="between">
      <formula>1</formula>
      <formula>1</formula>
    </cfRule>
  </conditionalFormatting>
  <conditionalFormatting sqref="G3:G33">
    <cfRule type="cellIs" dxfId="19" priority="8" operator="between">
      <formula>1</formula>
      <formula>2</formula>
    </cfRule>
  </conditionalFormatting>
  <conditionalFormatting sqref="G43:G73">
    <cfRule type="cellIs" dxfId="18" priority="2" operator="between">
      <formula>1</formula>
      <formula>1</formula>
    </cfRule>
  </conditionalFormatting>
  <conditionalFormatting sqref="H3:J33">
    <cfRule type="cellIs" dxfId="17" priority="6" operator="between">
      <formula>1</formula>
      <formula>1</formula>
    </cfRule>
  </conditionalFormatting>
  <conditionalFormatting sqref="H43:J73">
    <cfRule type="cellIs" dxfId="16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71BE-14A1-4A0E-BF60-9A72DBE54C1F}">
  <dimension ref="A2:J80"/>
  <sheetViews>
    <sheetView zoomScale="89" zoomScaleNormal="89" workbookViewId="0">
      <selection activeCell="D43" sqref="D43:J70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503</v>
      </c>
      <c r="C3" s="2" t="s">
        <v>11</v>
      </c>
    </row>
    <row r="4" spans="1:10" x14ac:dyDescent="0.35">
      <c r="A4">
        <v>2</v>
      </c>
      <c r="B4" t="s">
        <v>503</v>
      </c>
      <c r="C4" s="2" t="s">
        <v>11</v>
      </c>
    </row>
    <row r="5" spans="1:10" x14ac:dyDescent="0.35">
      <c r="A5">
        <v>3</v>
      </c>
      <c r="B5" t="s">
        <v>503</v>
      </c>
      <c r="C5" s="2" t="s">
        <v>11</v>
      </c>
    </row>
    <row r="6" spans="1:10" x14ac:dyDescent="0.35">
      <c r="A6">
        <v>4</v>
      </c>
      <c r="B6" t="s">
        <v>503</v>
      </c>
      <c r="C6" s="2" t="s">
        <v>11</v>
      </c>
    </row>
    <row r="7" spans="1:10" x14ac:dyDescent="0.35">
      <c r="A7">
        <v>5</v>
      </c>
      <c r="B7" t="s">
        <v>503</v>
      </c>
      <c r="C7" s="2" t="s">
        <v>11</v>
      </c>
    </row>
    <row r="8" spans="1:10" x14ac:dyDescent="0.35">
      <c r="A8">
        <v>6</v>
      </c>
      <c r="B8" t="s">
        <v>503</v>
      </c>
      <c r="C8" s="2" t="s">
        <v>11</v>
      </c>
    </row>
    <row r="9" spans="1:10" x14ac:dyDescent="0.35">
      <c r="A9">
        <v>7</v>
      </c>
      <c r="B9" t="s">
        <v>503</v>
      </c>
      <c r="C9" s="2" t="s">
        <v>11</v>
      </c>
    </row>
    <row r="10" spans="1:10" x14ac:dyDescent="0.35">
      <c r="A10">
        <v>8</v>
      </c>
      <c r="B10" t="s">
        <v>503</v>
      </c>
      <c r="C10" s="2" t="s">
        <v>11</v>
      </c>
    </row>
    <row r="11" spans="1:10" x14ac:dyDescent="0.35">
      <c r="A11">
        <v>9</v>
      </c>
      <c r="B11" t="s">
        <v>503</v>
      </c>
      <c r="C11" s="2" t="s">
        <v>11</v>
      </c>
    </row>
    <row r="12" spans="1:10" x14ac:dyDescent="0.35">
      <c r="A12">
        <v>10</v>
      </c>
      <c r="B12" t="s">
        <v>503</v>
      </c>
      <c r="C12" s="2" t="s">
        <v>11</v>
      </c>
    </row>
    <row r="13" spans="1:10" x14ac:dyDescent="0.35">
      <c r="A13">
        <v>11</v>
      </c>
      <c r="B13" t="s">
        <v>503</v>
      </c>
      <c r="C13" s="2" t="s">
        <v>11</v>
      </c>
    </row>
    <row r="14" spans="1:10" x14ac:dyDescent="0.35">
      <c r="A14">
        <v>12</v>
      </c>
      <c r="B14" t="s">
        <v>503</v>
      </c>
      <c r="C14" s="2" t="s">
        <v>11</v>
      </c>
    </row>
    <row r="15" spans="1:10" x14ac:dyDescent="0.35">
      <c r="A15">
        <v>13</v>
      </c>
      <c r="B15" t="s">
        <v>503</v>
      </c>
      <c r="C15" s="2" t="s">
        <v>11</v>
      </c>
    </row>
    <row r="16" spans="1:10" x14ac:dyDescent="0.35">
      <c r="A16">
        <v>14</v>
      </c>
      <c r="B16" t="s">
        <v>503</v>
      </c>
      <c r="C16" s="2" t="s">
        <v>11</v>
      </c>
    </row>
    <row r="17" spans="1:3" x14ac:dyDescent="0.35">
      <c r="A17">
        <v>15</v>
      </c>
      <c r="B17" t="s">
        <v>503</v>
      </c>
      <c r="C17" s="2" t="s">
        <v>11</v>
      </c>
    </row>
    <row r="18" spans="1:3" x14ac:dyDescent="0.35">
      <c r="A18">
        <v>16</v>
      </c>
      <c r="B18" t="s">
        <v>503</v>
      </c>
      <c r="C18" s="2" t="s">
        <v>11</v>
      </c>
    </row>
    <row r="19" spans="1:3" x14ac:dyDescent="0.35">
      <c r="A19">
        <v>17</v>
      </c>
      <c r="B19" t="s">
        <v>503</v>
      </c>
      <c r="C19" s="2" t="s">
        <v>11</v>
      </c>
    </row>
    <row r="20" spans="1:3" x14ac:dyDescent="0.35">
      <c r="A20">
        <v>18</v>
      </c>
      <c r="B20" t="s">
        <v>503</v>
      </c>
      <c r="C20" s="2" t="s">
        <v>11</v>
      </c>
    </row>
    <row r="21" spans="1:3" x14ac:dyDescent="0.35">
      <c r="A21">
        <v>19</v>
      </c>
      <c r="B21" t="s">
        <v>503</v>
      </c>
      <c r="C21" s="2" t="s">
        <v>11</v>
      </c>
    </row>
    <row r="22" spans="1:3" x14ac:dyDescent="0.35">
      <c r="A22">
        <v>20</v>
      </c>
      <c r="B22" t="s">
        <v>503</v>
      </c>
      <c r="C22" s="2" t="s">
        <v>11</v>
      </c>
    </row>
    <row r="23" spans="1:3" x14ac:dyDescent="0.35">
      <c r="A23">
        <v>21</v>
      </c>
      <c r="B23" t="s">
        <v>503</v>
      </c>
      <c r="C23" s="2" t="s">
        <v>11</v>
      </c>
    </row>
    <row r="24" spans="1:3" x14ac:dyDescent="0.35">
      <c r="A24">
        <v>22</v>
      </c>
      <c r="B24" t="s">
        <v>503</v>
      </c>
      <c r="C24" s="2" t="s">
        <v>11</v>
      </c>
    </row>
    <row r="25" spans="1:3" x14ac:dyDescent="0.35">
      <c r="A25">
        <v>23</v>
      </c>
      <c r="B25" t="s">
        <v>503</v>
      </c>
      <c r="C25" s="2" t="s">
        <v>11</v>
      </c>
    </row>
    <row r="26" spans="1:3" x14ac:dyDescent="0.35">
      <c r="A26">
        <v>24</v>
      </c>
      <c r="B26" t="s">
        <v>503</v>
      </c>
      <c r="C26" s="2" t="s">
        <v>11</v>
      </c>
    </row>
    <row r="27" spans="1:3" x14ac:dyDescent="0.35">
      <c r="A27">
        <v>25</v>
      </c>
      <c r="B27" t="s">
        <v>503</v>
      </c>
      <c r="C27" s="2" t="s">
        <v>11</v>
      </c>
    </row>
    <row r="28" spans="1:3" x14ac:dyDescent="0.35">
      <c r="A28">
        <v>26</v>
      </c>
      <c r="B28" t="s">
        <v>503</v>
      </c>
      <c r="C28" s="2" t="s">
        <v>11</v>
      </c>
    </row>
    <row r="29" spans="1:3" x14ac:dyDescent="0.35">
      <c r="A29">
        <v>27</v>
      </c>
      <c r="B29" t="s">
        <v>503</v>
      </c>
      <c r="C29" s="2" t="s">
        <v>11</v>
      </c>
    </row>
    <row r="30" spans="1:3" x14ac:dyDescent="0.35">
      <c r="A30">
        <v>28</v>
      </c>
      <c r="B30" t="s">
        <v>503</v>
      </c>
      <c r="C30" s="2" t="s">
        <v>11</v>
      </c>
    </row>
    <row r="31" spans="1:3" x14ac:dyDescent="0.35">
      <c r="A31">
        <v>29</v>
      </c>
      <c r="B31" t="s">
        <v>503</v>
      </c>
      <c r="C31" s="2" t="s">
        <v>11</v>
      </c>
    </row>
    <row r="32" spans="1:3" x14ac:dyDescent="0.35">
      <c r="A32">
        <v>30</v>
      </c>
      <c r="B32" t="s">
        <v>503</v>
      </c>
      <c r="C32" s="2" t="s">
        <v>11</v>
      </c>
    </row>
    <row r="33" spans="1:10" x14ac:dyDescent="0.35">
      <c r="A33">
        <v>31</v>
      </c>
      <c r="B33" t="s">
        <v>503</v>
      </c>
      <c r="C33" s="2" t="s">
        <v>11</v>
      </c>
    </row>
    <row r="36" spans="1:10" x14ac:dyDescent="0.35">
      <c r="C36" s="5" t="s">
        <v>7</v>
      </c>
      <c r="D36" s="6">
        <f>COUNTIF(E3:E33,1)</f>
        <v>0</v>
      </c>
      <c r="E36" s="6">
        <f>COUNTIF(E3:E22,1)</f>
        <v>0</v>
      </c>
    </row>
    <row r="37" spans="1:10" x14ac:dyDescent="0.35">
      <c r="C37" s="5" t="s">
        <v>8</v>
      </c>
      <c r="D37" s="6">
        <f>COUNTIF(E3:E33,1) + COUNTIF(G3:G33,1)</f>
        <v>0</v>
      </c>
      <c r="E37" s="6">
        <f>COUNTIF(E3:E22,1) + COUNTIF(G3:G22,1)</f>
        <v>0</v>
      </c>
    </row>
    <row r="38" spans="1:10" x14ac:dyDescent="0.35">
      <c r="C38" s="5" t="s">
        <v>10</v>
      </c>
      <c r="D38" s="6">
        <f>COUNTIF(F3:F33,1) + COUNTIF(H3:H33,1) + COUNTIF(I3:I33,1) + COUNTIF(J3:J33,1)</f>
        <v>0</v>
      </c>
      <c r="E38" s="6">
        <f>COUNTIF(F3:F22,1) + COUNTIF(H3:H22,1) + COUNTIF(I3:I22,1) + COUNTIF(J3:J22,1)</f>
        <v>0</v>
      </c>
    </row>
    <row r="39" spans="1:10" x14ac:dyDescent="0.35">
      <c r="C39" s="5" t="s">
        <v>9</v>
      </c>
      <c r="D39" s="6">
        <f>COUNTIF(F3:F33,1) + COUNTIF(H3:H33,1)</f>
        <v>0</v>
      </c>
      <c r="E39" s="6">
        <f>COUNTIF(F3:F22,1) + COUNTIF(H3:H22,1)</f>
        <v>0</v>
      </c>
    </row>
    <row r="40" spans="1:10" x14ac:dyDescent="0.35">
      <c r="C40" s="5" t="s">
        <v>209</v>
      </c>
      <c r="D40" s="6">
        <f>COUNTIF(E3:E22,1) + COUNTIF(E3:E33,1) + COUNTIF(G3:G33,1) + COUNTIF(H3:H33,1) + COUNTIF(I3:I33,1) + COUNTIF(J3:J33,1)</f>
        <v>0</v>
      </c>
      <c r="E40" s="6">
        <f>COUNTIF(E3:E22,1) + COUNTIF(F3:F22,1) + COUNTIF(G3:G22,1) + COUNTIF(H3:H22,1) + COUNTIF(K3:K22,1) + COUNTIF(J3:J22,1) + COUNTIF(I3:I22,1)</f>
        <v>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503</v>
      </c>
      <c r="C43" s="4" t="s">
        <v>28</v>
      </c>
    </row>
    <row r="44" spans="1:10" x14ac:dyDescent="0.35">
      <c r="A44">
        <v>2</v>
      </c>
      <c r="B44" t="s">
        <v>503</v>
      </c>
      <c r="C44" s="4" t="s">
        <v>28</v>
      </c>
    </row>
    <row r="45" spans="1:10" x14ac:dyDescent="0.35">
      <c r="A45">
        <v>3</v>
      </c>
      <c r="B45" t="s">
        <v>503</v>
      </c>
      <c r="C45" s="4" t="s">
        <v>28</v>
      </c>
    </row>
    <row r="46" spans="1:10" x14ac:dyDescent="0.35">
      <c r="A46">
        <v>4</v>
      </c>
      <c r="B46" t="s">
        <v>503</v>
      </c>
      <c r="C46" s="4" t="s">
        <v>28</v>
      </c>
    </row>
    <row r="47" spans="1:10" x14ac:dyDescent="0.35">
      <c r="A47">
        <v>5</v>
      </c>
      <c r="B47" t="s">
        <v>503</v>
      </c>
      <c r="C47" s="4" t="s">
        <v>28</v>
      </c>
    </row>
    <row r="48" spans="1:10" x14ac:dyDescent="0.35">
      <c r="A48">
        <v>6</v>
      </c>
      <c r="B48" t="s">
        <v>503</v>
      </c>
      <c r="C48" s="4" t="s">
        <v>28</v>
      </c>
    </row>
    <row r="49" spans="1:3" x14ac:dyDescent="0.35">
      <c r="A49">
        <v>7</v>
      </c>
      <c r="B49" t="s">
        <v>503</v>
      </c>
      <c r="C49" s="4" t="s">
        <v>28</v>
      </c>
    </row>
    <row r="50" spans="1:3" x14ac:dyDescent="0.35">
      <c r="A50">
        <v>8</v>
      </c>
      <c r="B50" t="s">
        <v>503</v>
      </c>
      <c r="C50" s="4" t="s">
        <v>28</v>
      </c>
    </row>
    <row r="51" spans="1:3" x14ac:dyDescent="0.35">
      <c r="A51">
        <v>9</v>
      </c>
      <c r="B51" t="s">
        <v>503</v>
      </c>
      <c r="C51" s="4" t="s">
        <v>28</v>
      </c>
    </row>
    <row r="52" spans="1:3" x14ac:dyDescent="0.35">
      <c r="A52">
        <v>10</v>
      </c>
      <c r="B52" t="s">
        <v>503</v>
      </c>
      <c r="C52" s="4" t="s">
        <v>28</v>
      </c>
    </row>
    <row r="53" spans="1:3" x14ac:dyDescent="0.35">
      <c r="A53">
        <v>11</v>
      </c>
      <c r="B53" t="s">
        <v>503</v>
      </c>
      <c r="C53" s="4" t="s">
        <v>28</v>
      </c>
    </row>
    <row r="54" spans="1:3" x14ac:dyDescent="0.35">
      <c r="A54">
        <v>12</v>
      </c>
      <c r="B54" t="s">
        <v>503</v>
      </c>
      <c r="C54" s="4" t="s">
        <v>28</v>
      </c>
    </row>
    <row r="55" spans="1:3" x14ac:dyDescent="0.35">
      <c r="A55">
        <v>13</v>
      </c>
      <c r="B55" t="s">
        <v>503</v>
      </c>
      <c r="C55" s="4" t="s">
        <v>28</v>
      </c>
    </row>
    <row r="56" spans="1:3" x14ac:dyDescent="0.35">
      <c r="A56">
        <v>14</v>
      </c>
      <c r="B56" t="s">
        <v>503</v>
      </c>
      <c r="C56" s="4" t="s">
        <v>28</v>
      </c>
    </row>
    <row r="57" spans="1:3" x14ac:dyDescent="0.35">
      <c r="A57">
        <v>15</v>
      </c>
      <c r="B57" t="s">
        <v>503</v>
      </c>
      <c r="C57" s="4" t="s">
        <v>28</v>
      </c>
    </row>
    <row r="58" spans="1:3" x14ac:dyDescent="0.35">
      <c r="A58">
        <v>16</v>
      </c>
      <c r="B58" t="s">
        <v>503</v>
      </c>
      <c r="C58" s="4" t="s">
        <v>28</v>
      </c>
    </row>
    <row r="59" spans="1:3" x14ac:dyDescent="0.35">
      <c r="A59">
        <v>17</v>
      </c>
      <c r="B59" t="s">
        <v>503</v>
      </c>
      <c r="C59" s="4" t="s">
        <v>28</v>
      </c>
    </row>
    <row r="60" spans="1:3" x14ac:dyDescent="0.35">
      <c r="A60">
        <v>18</v>
      </c>
      <c r="B60" t="s">
        <v>503</v>
      </c>
      <c r="C60" s="4" t="s">
        <v>28</v>
      </c>
    </row>
    <row r="61" spans="1:3" x14ac:dyDescent="0.35">
      <c r="A61">
        <v>19</v>
      </c>
      <c r="B61" t="s">
        <v>503</v>
      </c>
      <c r="C61" s="4" t="s">
        <v>28</v>
      </c>
    </row>
    <row r="62" spans="1:3" x14ac:dyDescent="0.35">
      <c r="A62">
        <v>20</v>
      </c>
      <c r="B62" t="s">
        <v>503</v>
      </c>
      <c r="C62" s="4" t="s">
        <v>28</v>
      </c>
    </row>
    <row r="63" spans="1:3" x14ac:dyDescent="0.35">
      <c r="A63">
        <v>21</v>
      </c>
      <c r="B63" t="s">
        <v>503</v>
      </c>
      <c r="C63" s="4" t="s">
        <v>28</v>
      </c>
    </row>
    <row r="64" spans="1:3" x14ac:dyDescent="0.35">
      <c r="A64">
        <v>22</v>
      </c>
      <c r="B64" t="s">
        <v>503</v>
      </c>
      <c r="C64" s="4" t="s">
        <v>28</v>
      </c>
    </row>
    <row r="65" spans="1:5" x14ac:dyDescent="0.35">
      <c r="A65">
        <v>23</v>
      </c>
      <c r="B65" t="s">
        <v>503</v>
      </c>
      <c r="C65" s="4" t="s">
        <v>28</v>
      </c>
    </row>
    <row r="66" spans="1:5" x14ac:dyDescent="0.35">
      <c r="A66">
        <v>24</v>
      </c>
      <c r="B66" t="s">
        <v>503</v>
      </c>
      <c r="C66" s="4" t="s">
        <v>28</v>
      </c>
    </row>
    <row r="67" spans="1:5" x14ac:dyDescent="0.35">
      <c r="A67">
        <v>25</v>
      </c>
      <c r="B67" t="s">
        <v>503</v>
      </c>
      <c r="C67" s="4" t="s">
        <v>28</v>
      </c>
    </row>
    <row r="68" spans="1:5" x14ac:dyDescent="0.35">
      <c r="A68">
        <v>26</v>
      </c>
      <c r="B68" t="s">
        <v>503</v>
      </c>
      <c r="C68" s="4" t="s">
        <v>28</v>
      </c>
    </row>
    <row r="69" spans="1:5" x14ac:dyDescent="0.35">
      <c r="A69">
        <v>27</v>
      </c>
      <c r="B69" t="s">
        <v>503</v>
      </c>
      <c r="C69" s="4" t="s">
        <v>28</v>
      </c>
    </row>
    <row r="70" spans="1:5" x14ac:dyDescent="0.35">
      <c r="A70">
        <v>28</v>
      </c>
      <c r="B70" t="s">
        <v>503</v>
      </c>
      <c r="C70" s="4" t="s">
        <v>28</v>
      </c>
    </row>
    <row r="71" spans="1:5" x14ac:dyDescent="0.35">
      <c r="A71">
        <v>29</v>
      </c>
      <c r="B71" t="s">
        <v>503</v>
      </c>
      <c r="C71" s="4" t="s">
        <v>28</v>
      </c>
    </row>
    <row r="72" spans="1:5" x14ac:dyDescent="0.35">
      <c r="A72">
        <v>30</v>
      </c>
      <c r="B72" t="s">
        <v>503</v>
      </c>
      <c r="C72" s="4" t="s">
        <v>28</v>
      </c>
    </row>
    <row r="76" spans="1:5" x14ac:dyDescent="0.35">
      <c r="C76" s="5" t="s">
        <v>7</v>
      </c>
      <c r="D76" s="6">
        <f>COUNTIF(E43:E72,1)</f>
        <v>0</v>
      </c>
      <c r="E76" s="6">
        <f>COUNTIF(E43:E62,1)</f>
        <v>0</v>
      </c>
    </row>
    <row r="77" spans="1:5" x14ac:dyDescent="0.35">
      <c r="C77" s="5" t="s">
        <v>8</v>
      </c>
      <c r="D77" s="6">
        <f>COUNTIF(E43:E72,1) + COUNTIF(G43:G72,1)</f>
        <v>0</v>
      </c>
      <c r="E77" s="6">
        <f>COUNTIF(E43:E62,1) + COUNTIF(G43:G62,1)</f>
        <v>0</v>
      </c>
    </row>
    <row r="78" spans="1:5" x14ac:dyDescent="0.35">
      <c r="C78" s="5" t="s">
        <v>10</v>
      </c>
      <c r="D78" s="6">
        <f>COUNTIF(F43:F72,1) + COUNTIF(H43:H72,1) + COUNTIF(I43:I72,1) + COUNTIF(J43:J72,1)</f>
        <v>0</v>
      </c>
      <c r="E78" s="6">
        <f>COUNTIF(F43:F62,1) + COUNTIF(H43:H62,1) + COUNTIF(I43:I62,1) + COUNTIF(J43:J62,1)</f>
        <v>0</v>
      </c>
    </row>
    <row r="79" spans="1:5" x14ac:dyDescent="0.35">
      <c r="C79" s="5" t="s">
        <v>9</v>
      </c>
      <c r="D79" s="6">
        <f>COUNTIF(F43:F72,1) + COUNTIF(H43:H72,1)</f>
        <v>0</v>
      </c>
      <c r="E79" s="6">
        <f>COUNTIF(F43:F62,1) + COUNTIF(H43:H62,1)</f>
        <v>0</v>
      </c>
    </row>
    <row r="80" spans="1:5" x14ac:dyDescent="0.35">
      <c r="C80" s="5" t="s">
        <v>209</v>
      </c>
      <c r="D80" s="6">
        <f>COUNTIF(F43:F72,1) + COUNTIF(E43:E72,1) + COUNTIF(G43:G72,1) + COUNTIF(H43:H72,1) + COUNTIF(I43:I72,1) + COUNTIF(J43:J72,1)</f>
        <v>0</v>
      </c>
      <c r="E80" s="6">
        <f>COUNTIF(E43:E62,1) + COUNTIF(F43:F62,1) + COUNTIF(G43:G62,1) + COUNTIF(H43:H62,1) + COUNTIF(K43:K62,1) + COUNTIF(J43:J62,1) + COUNTIF(I43:I62,1)</f>
        <v>0</v>
      </c>
    </row>
  </sheetData>
  <conditionalFormatting sqref="E3:E33">
    <cfRule type="cellIs" dxfId="15" priority="7" operator="between">
      <formula>1</formula>
      <formula>1</formula>
    </cfRule>
  </conditionalFormatting>
  <conditionalFormatting sqref="E43:E73">
    <cfRule type="cellIs" dxfId="14" priority="4" operator="between">
      <formula>1</formula>
      <formula>1</formula>
    </cfRule>
  </conditionalFormatting>
  <conditionalFormatting sqref="F3:F33">
    <cfRule type="cellIs" dxfId="13" priority="5" operator="between">
      <formula>1</formula>
      <formula>1</formula>
    </cfRule>
  </conditionalFormatting>
  <conditionalFormatting sqref="F43:F73">
    <cfRule type="cellIs" dxfId="12" priority="3" operator="between">
      <formula>1</formula>
      <formula>1</formula>
    </cfRule>
  </conditionalFormatting>
  <conditionalFormatting sqref="G3:G33">
    <cfRule type="cellIs" dxfId="11" priority="8" operator="between">
      <formula>1</formula>
      <formula>2</formula>
    </cfRule>
  </conditionalFormatting>
  <conditionalFormatting sqref="G43:G73">
    <cfRule type="cellIs" dxfId="10" priority="2" operator="between">
      <formula>1</formula>
      <formula>1</formula>
    </cfRule>
  </conditionalFormatting>
  <conditionalFormatting sqref="H3:J33">
    <cfRule type="cellIs" dxfId="9" priority="6" operator="between">
      <formula>1</formula>
      <formula>1</formula>
    </cfRule>
  </conditionalFormatting>
  <conditionalFormatting sqref="H43:J73">
    <cfRule type="cellIs" dxfId="8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1826-3EDB-48FE-8B58-EB2C2330645A}">
  <dimension ref="A2:J80"/>
  <sheetViews>
    <sheetView topLeftCell="A37" zoomScale="89" zoomScaleNormal="89" workbookViewId="0">
      <selection activeCell="D96" sqref="D96"/>
    </sheetView>
  </sheetViews>
  <sheetFormatPr defaultRowHeight="14.5" x14ac:dyDescent="0.35"/>
  <cols>
    <col min="1" max="1" width="7.453125" bestFit="1" customWidth="1"/>
    <col min="2" max="2" width="6.453125" bestFit="1" customWidth="1"/>
    <col min="3" max="3" width="15.453125" customWidth="1"/>
    <col min="4" max="4" width="48.90625" bestFit="1" customWidth="1"/>
    <col min="5" max="5" width="30.54296875" bestFit="1" customWidth="1"/>
    <col min="6" max="6" width="26.7265625" bestFit="1" customWidth="1"/>
    <col min="7" max="7" width="32" bestFit="1" customWidth="1"/>
    <col min="8" max="8" width="28.1796875" bestFit="1" customWidth="1"/>
    <col min="9" max="9" width="6.453125" bestFit="1" customWidth="1"/>
    <col min="10" max="10" width="14.7265625" bestFit="1" customWidth="1"/>
  </cols>
  <sheetData>
    <row r="2" spans="1:10" x14ac:dyDescent="0.35">
      <c r="A2" t="s">
        <v>18</v>
      </c>
      <c r="B2" t="s">
        <v>19</v>
      </c>
      <c r="C2" t="s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5">
      <c r="A3">
        <v>1</v>
      </c>
      <c r="B3" t="s">
        <v>638</v>
      </c>
      <c r="C3" s="2" t="s">
        <v>11</v>
      </c>
      <c r="D3" t="s">
        <v>639</v>
      </c>
      <c r="I3">
        <v>1</v>
      </c>
    </row>
    <row r="4" spans="1:10" x14ac:dyDescent="0.35">
      <c r="A4">
        <v>2</v>
      </c>
      <c r="B4" t="s">
        <v>638</v>
      </c>
      <c r="C4" s="2" t="s">
        <v>11</v>
      </c>
      <c r="D4" t="s">
        <v>640</v>
      </c>
      <c r="I4">
        <v>1</v>
      </c>
    </row>
    <row r="5" spans="1:10" x14ac:dyDescent="0.35">
      <c r="A5">
        <v>3</v>
      </c>
      <c r="B5" t="s">
        <v>638</v>
      </c>
      <c r="C5" s="2" t="s">
        <v>11</v>
      </c>
      <c r="D5" t="s">
        <v>641</v>
      </c>
      <c r="E5">
        <v>1</v>
      </c>
    </row>
    <row r="6" spans="1:10" x14ac:dyDescent="0.35">
      <c r="A6">
        <v>4</v>
      </c>
      <c r="B6" t="s">
        <v>638</v>
      </c>
      <c r="C6" s="2" t="s">
        <v>11</v>
      </c>
      <c r="D6" t="s">
        <v>642</v>
      </c>
      <c r="E6">
        <v>1</v>
      </c>
    </row>
    <row r="7" spans="1:10" x14ac:dyDescent="0.35">
      <c r="A7">
        <v>5</v>
      </c>
      <c r="B7" t="s">
        <v>638</v>
      </c>
      <c r="C7" s="2" t="s">
        <v>11</v>
      </c>
      <c r="D7" t="s">
        <v>643</v>
      </c>
      <c r="G7">
        <v>1</v>
      </c>
    </row>
    <row r="8" spans="1:10" x14ac:dyDescent="0.35">
      <c r="A8">
        <v>6</v>
      </c>
      <c r="B8" t="s">
        <v>638</v>
      </c>
      <c r="C8" s="2" t="s">
        <v>11</v>
      </c>
      <c r="D8" t="s">
        <v>644</v>
      </c>
      <c r="I8">
        <v>1</v>
      </c>
    </row>
    <row r="9" spans="1:10" x14ac:dyDescent="0.35">
      <c r="A9">
        <v>7</v>
      </c>
      <c r="B9" t="s">
        <v>638</v>
      </c>
      <c r="C9" s="2" t="s">
        <v>11</v>
      </c>
      <c r="D9" t="s">
        <v>645</v>
      </c>
      <c r="I9">
        <v>1</v>
      </c>
    </row>
    <row r="10" spans="1:10" x14ac:dyDescent="0.35">
      <c r="A10">
        <v>8</v>
      </c>
      <c r="B10" t="s">
        <v>638</v>
      </c>
      <c r="C10" s="2" t="s">
        <v>11</v>
      </c>
      <c r="D10" t="s">
        <v>646</v>
      </c>
      <c r="E10">
        <v>1</v>
      </c>
    </row>
    <row r="11" spans="1:10" x14ac:dyDescent="0.35">
      <c r="A11">
        <v>9</v>
      </c>
      <c r="B11" t="s">
        <v>638</v>
      </c>
      <c r="C11" s="2" t="s">
        <v>11</v>
      </c>
      <c r="D11" t="s">
        <v>647</v>
      </c>
      <c r="I11">
        <v>1</v>
      </c>
    </row>
    <row r="12" spans="1:10" x14ac:dyDescent="0.35">
      <c r="A12">
        <v>10</v>
      </c>
      <c r="B12" t="s">
        <v>638</v>
      </c>
      <c r="C12" s="2" t="s">
        <v>11</v>
      </c>
      <c r="D12" t="s">
        <v>648</v>
      </c>
      <c r="G12">
        <v>1</v>
      </c>
    </row>
    <row r="13" spans="1:10" x14ac:dyDescent="0.35">
      <c r="A13">
        <v>11</v>
      </c>
      <c r="B13" t="s">
        <v>638</v>
      </c>
      <c r="C13" s="2" t="s">
        <v>11</v>
      </c>
      <c r="D13" t="s">
        <v>649</v>
      </c>
      <c r="E13">
        <v>1</v>
      </c>
    </row>
    <row r="14" spans="1:10" x14ac:dyDescent="0.35">
      <c r="A14">
        <v>12</v>
      </c>
      <c r="B14" t="s">
        <v>638</v>
      </c>
      <c r="C14" s="2" t="s">
        <v>11</v>
      </c>
      <c r="D14" t="s">
        <v>650</v>
      </c>
      <c r="E14">
        <v>1</v>
      </c>
    </row>
    <row r="15" spans="1:10" x14ac:dyDescent="0.35">
      <c r="A15">
        <v>13</v>
      </c>
      <c r="B15" t="s">
        <v>638</v>
      </c>
      <c r="C15" s="2" t="s">
        <v>11</v>
      </c>
      <c r="D15" t="s">
        <v>651</v>
      </c>
      <c r="I15">
        <v>1</v>
      </c>
    </row>
    <row r="16" spans="1:10" x14ac:dyDescent="0.35">
      <c r="A16">
        <v>14</v>
      </c>
      <c r="B16" t="s">
        <v>638</v>
      </c>
      <c r="C16" s="2" t="s">
        <v>11</v>
      </c>
      <c r="D16" t="s">
        <v>652</v>
      </c>
      <c r="E16">
        <v>1</v>
      </c>
    </row>
    <row r="17" spans="1:9" x14ac:dyDescent="0.35">
      <c r="A17">
        <v>15</v>
      </c>
      <c r="B17" t="s">
        <v>638</v>
      </c>
      <c r="C17" s="2" t="s">
        <v>11</v>
      </c>
      <c r="D17" t="s">
        <v>653</v>
      </c>
      <c r="E17">
        <v>1</v>
      </c>
    </row>
    <row r="18" spans="1:9" x14ac:dyDescent="0.35">
      <c r="A18">
        <v>16</v>
      </c>
      <c r="B18" t="s">
        <v>638</v>
      </c>
      <c r="C18" s="2" t="s">
        <v>11</v>
      </c>
      <c r="D18" t="s">
        <v>654</v>
      </c>
      <c r="E18">
        <v>1</v>
      </c>
    </row>
    <row r="19" spans="1:9" x14ac:dyDescent="0.35">
      <c r="A19">
        <v>17</v>
      </c>
      <c r="B19" t="s">
        <v>638</v>
      </c>
      <c r="C19" s="2" t="s">
        <v>11</v>
      </c>
      <c r="D19" t="s">
        <v>655</v>
      </c>
      <c r="G19">
        <v>1</v>
      </c>
    </row>
    <row r="20" spans="1:9" x14ac:dyDescent="0.35">
      <c r="A20">
        <v>18</v>
      </c>
      <c r="B20" t="s">
        <v>638</v>
      </c>
      <c r="C20" s="2" t="s">
        <v>11</v>
      </c>
      <c r="D20" t="s">
        <v>656</v>
      </c>
      <c r="E20">
        <v>1</v>
      </c>
    </row>
    <row r="21" spans="1:9" x14ac:dyDescent="0.35">
      <c r="A21">
        <v>19</v>
      </c>
      <c r="B21" t="s">
        <v>638</v>
      </c>
      <c r="C21" s="2" t="s">
        <v>11</v>
      </c>
      <c r="D21" t="s">
        <v>657</v>
      </c>
      <c r="I21">
        <v>1</v>
      </c>
    </row>
    <row r="22" spans="1:9" x14ac:dyDescent="0.35">
      <c r="A22">
        <v>20</v>
      </c>
      <c r="B22" t="s">
        <v>638</v>
      </c>
      <c r="C22" s="2" t="s">
        <v>11</v>
      </c>
      <c r="D22" t="s">
        <v>658</v>
      </c>
      <c r="I22">
        <v>1</v>
      </c>
    </row>
    <row r="23" spans="1:9" x14ac:dyDescent="0.35">
      <c r="A23">
        <v>21</v>
      </c>
      <c r="B23" t="s">
        <v>638</v>
      </c>
      <c r="C23" s="2" t="s">
        <v>11</v>
      </c>
      <c r="D23" t="s">
        <v>659</v>
      </c>
      <c r="I23">
        <v>1</v>
      </c>
    </row>
    <row r="24" spans="1:9" x14ac:dyDescent="0.35">
      <c r="A24">
        <v>22</v>
      </c>
      <c r="B24" t="s">
        <v>638</v>
      </c>
      <c r="C24" s="2" t="s">
        <v>11</v>
      </c>
      <c r="D24" t="s">
        <v>660</v>
      </c>
      <c r="E24">
        <v>1</v>
      </c>
    </row>
    <row r="25" spans="1:9" x14ac:dyDescent="0.35">
      <c r="A25">
        <v>23</v>
      </c>
      <c r="B25" t="s">
        <v>638</v>
      </c>
      <c r="C25" s="2" t="s">
        <v>11</v>
      </c>
      <c r="D25" t="s">
        <v>661</v>
      </c>
      <c r="E25">
        <v>1</v>
      </c>
    </row>
    <row r="26" spans="1:9" x14ac:dyDescent="0.35">
      <c r="A26">
        <v>24</v>
      </c>
      <c r="B26" t="s">
        <v>638</v>
      </c>
      <c r="C26" s="2" t="s">
        <v>11</v>
      </c>
      <c r="D26" t="s">
        <v>662</v>
      </c>
      <c r="G26">
        <v>1</v>
      </c>
    </row>
    <row r="27" spans="1:9" x14ac:dyDescent="0.35">
      <c r="A27">
        <v>25</v>
      </c>
      <c r="B27" t="s">
        <v>638</v>
      </c>
      <c r="C27" s="2" t="s">
        <v>11</v>
      </c>
      <c r="D27" t="s">
        <v>663</v>
      </c>
      <c r="I27">
        <v>1</v>
      </c>
    </row>
    <row r="28" spans="1:9" x14ac:dyDescent="0.35">
      <c r="A28">
        <v>26</v>
      </c>
      <c r="B28" t="s">
        <v>638</v>
      </c>
      <c r="C28" s="2" t="s">
        <v>11</v>
      </c>
      <c r="D28" t="s">
        <v>664</v>
      </c>
      <c r="I28">
        <v>1</v>
      </c>
    </row>
    <row r="29" spans="1:9" x14ac:dyDescent="0.35">
      <c r="A29">
        <v>27</v>
      </c>
      <c r="B29" t="s">
        <v>638</v>
      </c>
      <c r="C29" s="2" t="s">
        <v>11</v>
      </c>
      <c r="D29" t="s">
        <v>665</v>
      </c>
      <c r="I29">
        <v>1</v>
      </c>
    </row>
    <row r="30" spans="1:9" x14ac:dyDescent="0.35">
      <c r="A30">
        <v>28</v>
      </c>
      <c r="B30" t="s">
        <v>638</v>
      </c>
      <c r="C30" s="2" t="s">
        <v>11</v>
      </c>
      <c r="D30" t="s">
        <v>666</v>
      </c>
      <c r="I30">
        <v>1</v>
      </c>
    </row>
    <row r="31" spans="1:9" x14ac:dyDescent="0.35">
      <c r="A31">
        <v>29</v>
      </c>
      <c r="B31" t="s">
        <v>638</v>
      </c>
      <c r="C31" s="2" t="s">
        <v>11</v>
      </c>
      <c r="D31" t="s">
        <v>667</v>
      </c>
      <c r="I31">
        <v>1</v>
      </c>
    </row>
    <row r="32" spans="1:9" x14ac:dyDescent="0.35">
      <c r="A32">
        <v>30</v>
      </c>
      <c r="B32" t="s">
        <v>638</v>
      </c>
      <c r="C32" s="2" t="s">
        <v>11</v>
      </c>
      <c r="D32" t="s">
        <v>668</v>
      </c>
      <c r="I32">
        <v>1</v>
      </c>
    </row>
    <row r="33" spans="1:10" x14ac:dyDescent="0.35">
      <c r="C33" s="8"/>
    </row>
    <row r="36" spans="1:10" x14ac:dyDescent="0.35">
      <c r="C36" s="5" t="s">
        <v>7</v>
      </c>
      <c r="D36" s="6">
        <f>COUNTIF(E3:E33,1)</f>
        <v>11</v>
      </c>
      <c r="E36" s="6">
        <f>COUNTIF(E3:E22,1)</f>
        <v>9</v>
      </c>
    </row>
    <row r="37" spans="1:10" x14ac:dyDescent="0.35">
      <c r="C37" s="5" t="s">
        <v>8</v>
      </c>
      <c r="D37" s="6">
        <f>COUNTIF(E3:E33,1) + COUNTIF(G3:G33,1)</f>
        <v>15</v>
      </c>
      <c r="E37" s="6">
        <f>COUNTIF(E3:E22,1) + COUNTIF(G3:G22,1)</f>
        <v>12</v>
      </c>
    </row>
    <row r="38" spans="1:10" x14ac:dyDescent="0.35">
      <c r="C38" s="5" t="s">
        <v>10</v>
      </c>
      <c r="D38" s="6">
        <f>COUNTIF(F3:F33,1) + COUNTIF(H3:H33,1) + COUNTIF(I3:I33,1) + COUNTIF(J3:J33,1)</f>
        <v>15</v>
      </c>
      <c r="E38" s="6">
        <f>COUNTIF(F3:F22,1) + COUNTIF(H3:H22,1) + COUNTIF(I3:I22,1) + COUNTIF(J3:J22,1)</f>
        <v>8</v>
      </c>
    </row>
    <row r="39" spans="1:10" x14ac:dyDescent="0.35">
      <c r="C39" s="5" t="s">
        <v>9</v>
      </c>
      <c r="D39" s="6">
        <f>COUNTIF(F3:F33,1) + COUNTIF(H3:H33,1)</f>
        <v>0</v>
      </c>
      <c r="E39" s="6">
        <f>COUNTIF(F3:F22,1) + COUNTIF(H3:H22,1)</f>
        <v>0</v>
      </c>
    </row>
    <row r="40" spans="1:10" x14ac:dyDescent="0.35">
      <c r="C40" s="5" t="s">
        <v>209</v>
      </c>
      <c r="D40" s="6">
        <f xml:space="preserve"> COUNTIF(E3:E32,1) + COUNTIF(G3:G32,1) + COUNTIF(H3:H32,1) + COUNTIF(I3:I32,1) + COUNTIF(J3:J32,1) + COUNTIF(F3:F32,1)</f>
        <v>30</v>
      </c>
      <c r="E40" s="6">
        <f>COUNTIF(E3:E22,1) + COUNTIF(F3:F22,1) + COUNTIF(G3:G22,1) + COUNTIF(H3:H22,1) + COUNTIF(K3:K22,1) + COUNTIF(J3:J22,1) + COUNTIF(I3:I22,1)</f>
        <v>20</v>
      </c>
    </row>
    <row r="42" spans="1:10" x14ac:dyDescent="0.35">
      <c r="A42" t="s">
        <v>18</v>
      </c>
      <c r="B42" t="s">
        <v>19</v>
      </c>
      <c r="C42" t="s">
        <v>0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>
        <v>1</v>
      </c>
      <c r="B43" t="s">
        <v>638</v>
      </c>
      <c r="C43" s="4" t="s">
        <v>28</v>
      </c>
      <c r="D43" t="s">
        <v>669</v>
      </c>
      <c r="G43">
        <v>1</v>
      </c>
    </row>
    <row r="44" spans="1:10" x14ac:dyDescent="0.35">
      <c r="A44">
        <v>2</v>
      </c>
      <c r="B44" t="s">
        <v>638</v>
      </c>
      <c r="C44" s="4" t="s">
        <v>28</v>
      </c>
      <c r="D44" t="s">
        <v>670</v>
      </c>
      <c r="G44">
        <v>1</v>
      </c>
    </row>
    <row r="45" spans="1:10" x14ac:dyDescent="0.35">
      <c r="A45">
        <v>3</v>
      </c>
      <c r="B45" t="s">
        <v>638</v>
      </c>
      <c r="C45" s="4" t="s">
        <v>28</v>
      </c>
      <c r="D45" t="s">
        <v>671</v>
      </c>
      <c r="I45">
        <v>1</v>
      </c>
    </row>
    <row r="46" spans="1:10" x14ac:dyDescent="0.35">
      <c r="A46">
        <v>4</v>
      </c>
      <c r="B46" t="s">
        <v>638</v>
      </c>
      <c r="C46" s="4" t="s">
        <v>28</v>
      </c>
      <c r="D46" t="s">
        <v>672</v>
      </c>
      <c r="E46">
        <v>1</v>
      </c>
    </row>
    <row r="47" spans="1:10" x14ac:dyDescent="0.35">
      <c r="A47">
        <v>5</v>
      </c>
      <c r="B47" t="s">
        <v>638</v>
      </c>
      <c r="C47" s="4" t="s">
        <v>28</v>
      </c>
      <c r="D47" t="s">
        <v>673</v>
      </c>
      <c r="E47">
        <v>1</v>
      </c>
    </row>
    <row r="48" spans="1:10" x14ac:dyDescent="0.35">
      <c r="A48">
        <v>6</v>
      </c>
      <c r="B48" t="s">
        <v>638</v>
      </c>
      <c r="C48" s="4" t="s">
        <v>28</v>
      </c>
      <c r="D48" t="s">
        <v>674</v>
      </c>
      <c r="G48">
        <v>1</v>
      </c>
    </row>
    <row r="49" spans="1:9" x14ac:dyDescent="0.35">
      <c r="A49">
        <v>7</v>
      </c>
      <c r="B49" t="s">
        <v>638</v>
      </c>
      <c r="C49" s="4" t="s">
        <v>28</v>
      </c>
      <c r="D49" t="s">
        <v>675</v>
      </c>
      <c r="E49">
        <v>1</v>
      </c>
    </row>
    <row r="50" spans="1:9" x14ac:dyDescent="0.35">
      <c r="A50">
        <v>8</v>
      </c>
      <c r="B50" t="s">
        <v>638</v>
      </c>
      <c r="C50" s="4" t="s">
        <v>28</v>
      </c>
      <c r="D50" t="s">
        <v>676</v>
      </c>
      <c r="E50">
        <v>1</v>
      </c>
    </row>
    <row r="51" spans="1:9" x14ac:dyDescent="0.35">
      <c r="A51">
        <v>9</v>
      </c>
      <c r="B51" t="s">
        <v>638</v>
      </c>
      <c r="C51" s="4" t="s">
        <v>28</v>
      </c>
      <c r="D51" t="s">
        <v>677</v>
      </c>
      <c r="E51">
        <v>1</v>
      </c>
    </row>
    <row r="52" spans="1:9" x14ac:dyDescent="0.35">
      <c r="A52">
        <v>10</v>
      </c>
      <c r="B52" t="s">
        <v>638</v>
      </c>
      <c r="C52" s="4" t="s">
        <v>28</v>
      </c>
      <c r="D52" t="s">
        <v>678</v>
      </c>
      <c r="G52">
        <v>1</v>
      </c>
    </row>
    <row r="53" spans="1:9" x14ac:dyDescent="0.35">
      <c r="A53">
        <v>11</v>
      </c>
      <c r="B53" t="s">
        <v>638</v>
      </c>
      <c r="C53" s="4" t="s">
        <v>28</v>
      </c>
      <c r="D53" t="s">
        <v>679</v>
      </c>
      <c r="G53">
        <v>1</v>
      </c>
    </row>
    <row r="54" spans="1:9" x14ac:dyDescent="0.35">
      <c r="A54">
        <v>12</v>
      </c>
      <c r="B54" t="s">
        <v>638</v>
      </c>
      <c r="C54" s="4" t="s">
        <v>28</v>
      </c>
      <c r="D54" t="s">
        <v>680</v>
      </c>
      <c r="I54">
        <v>1</v>
      </c>
    </row>
    <row r="55" spans="1:9" x14ac:dyDescent="0.35">
      <c r="A55">
        <v>13</v>
      </c>
      <c r="B55" t="s">
        <v>638</v>
      </c>
      <c r="C55" s="4" t="s">
        <v>28</v>
      </c>
      <c r="D55" t="s">
        <v>681</v>
      </c>
      <c r="E55">
        <v>1</v>
      </c>
    </row>
    <row r="56" spans="1:9" x14ac:dyDescent="0.35">
      <c r="A56">
        <v>14</v>
      </c>
      <c r="B56" t="s">
        <v>638</v>
      </c>
      <c r="C56" s="4" t="s">
        <v>28</v>
      </c>
      <c r="D56" t="s">
        <v>682</v>
      </c>
      <c r="G56">
        <v>1</v>
      </c>
    </row>
    <row r="57" spans="1:9" x14ac:dyDescent="0.35">
      <c r="A57">
        <v>15</v>
      </c>
      <c r="B57" t="s">
        <v>638</v>
      </c>
      <c r="C57" s="4" t="s">
        <v>28</v>
      </c>
      <c r="D57" t="s">
        <v>683</v>
      </c>
      <c r="I57">
        <v>1</v>
      </c>
    </row>
    <row r="58" spans="1:9" x14ac:dyDescent="0.35">
      <c r="A58">
        <v>16</v>
      </c>
      <c r="B58" t="s">
        <v>638</v>
      </c>
      <c r="C58" s="4" t="s">
        <v>28</v>
      </c>
      <c r="D58" t="s">
        <v>684</v>
      </c>
      <c r="I58">
        <v>1</v>
      </c>
    </row>
    <row r="59" spans="1:9" x14ac:dyDescent="0.35">
      <c r="A59">
        <v>17</v>
      </c>
      <c r="B59" t="s">
        <v>638</v>
      </c>
      <c r="C59" s="4" t="s">
        <v>28</v>
      </c>
      <c r="D59" t="s">
        <v>685</v>
      </c>
      <c r="I59">
        <v>1</v>
      </c>
    </row>
    <row r="60" spans="1:9" x14ac:dyDescent="0.35">
      <c r="A60">
        <v>18</v>
      </c>
      <c r="B60" t="s">
        <v>638</v>
      </c>
      <c r="C60" s="4" t="s">
        <v>28</v>
      </c>
      <c r="D60" t="s">
        <v>686</v>
      </c>
      <c r="I60">
        <v>1</v>
      </c>
    </row>
    <row r="61" spans="1:9" x14ac:dyDescent="0.35">
      <c r="A61">
        <v>19</v>
      </c>
      <c r="B61" t="s">
        <v>638</v>
      </c>
      <c r="C61" s="4" t="s">
        <v>28</v>
      </c>
      <c r="D61" t="s">
        <v>687</v>
      </c>
      <c r="I61">
        <v>1</v>
      </c>
    </row>
    <row r="62" spans="1:9" x14ac:dyDescent="0.35">
      <c r="A62">
        <v>20</v>
      </c>
      <c r="B62" t="s">
        <v>638</v>
      </c>
      <c r="C62" s="4" t="s">
        <v>28</v>
      </c>
      <c r="D62" t="s">
        <v>688</v>
      </c>
      <c r="I62">
        <v>1</v>
      </c>
    </row>
    <row r="63" spans="1:9" x14ac:dyDescent="0.35">
      <c r="A63">
        <v>21</v>
      </c>
      <c r="B63" t="s">
        <v>638</v>
      </c>
      <c r="C63" s="4" t="s">
        <v>28</v>
      </c>
      <c r="D63" t="s">
        <v>689</v>
      </c>
      <c r="E63">
        <v>1</v>
      </c>
    </row>
    <row r="64" spans="1:9" x14ac:dyDescent="0.35">
      <c r="A64">
        <v>22</v>
      </c>
      <c r="B64" t="s">
        <v>638</v>
      </c>
      <c r="C64" s="4" t="s">
        <v>28</v>
      </c>
      <c r="D64" t="s">
        <v>690</v>
      </c>
      <c r="I64">
        <v>1</v>
      </c>
    </row>
    <row r="65" spans="1:9" x14ac:dyDescent="0.35">
      <c r="A65">
        <v>23</v>
      </c>
      <c r="B65" t="s">
        <v>638</v>
      </c>
      <c r="C65" s="4" t="s">
        <v>28</v>
      </c>
      <c r="D65" t="s">
        <v>691</v>
      </c>
      <c r="I65">
        <v>1</v>
      </c>
    </row>
    <row r="66" spans="1:9" x14ac:dyDescent="0.35">
      <c r="A66">
        <v>24</v>
      </c>
      <c r="B66" t="s">
        <v>638</v>
      </c>
      <c r="C66" s="4" t="s">
        <v>28</v>
      </c>
      <c r="D66" t="s">
        <v>692</v>
      </c>
      <c r="I66">
        <v>1</v>
      </c>
    </row>
    <row r="67" spans="1:9" x14ac:dyDescent="0.35">
      <c r="A67">
        <v>25</v>
      </c>
      <c r="B67" t="s">
        <v>638</v>
      </c>
      <c r="C67" s="4" t="s">
        <v>28</v>
      </c>
      <c r="D67" t="s">
        <v>693</v>
      </c>
      <c r="I67">
        <v>1</v>
      </c>
    </row>
    <row r="68" spans="1:9" x14ac:dyDescent="0.35">
      <c r="A68">
        <v>26</v>
      </c>
      <c r="B68" t="s">
        <v>638</v>
      </c>
      <c r="C68" s="4" t="s">
        <v>28</v>
      </c>
      <c r="D68" t="s">
        <v>694</v>
      </c>
      <c r="E68">
        <v>1</v>
      </c>
    </row>
    <row r="69" spans="1:9" x14ac:dyDescent="0.35">
      <c r="A69">
        <v>27</v>
      </c>
      <c r="B69" t="s">
        <v>638</v>
      </c>
      <c r="C69" s="4" t="s">
        <v>28</v>
      </c>
      <c r="D69" t="s">
        <v>695</v>
      </c>
      <c r="I69">
        <v>1</v>
      </c>
    </row>
    <row r="70" spans="1:9" x14ac:dyDescent="0.35">
      <c r="A70">
        <v>28</v>
      </c>
      <c r="B70" t="s">
        <v>638</v>
      </c>
      <c r="C70" s="4" t="s">
        <v>28</v>
      </c>
      <c r="D70" t="s">
        <v>696</v>
      </c>
      <c r="G70">
        <v>1</v>
      </c>
    </row>
    <row r="71" spans="1:9" x14ac:dyDescent="0.35">
      <c r="A71">
        <v>29</v>
      </c>
      <c r="B71" t="s">
        <v>638</v>
      </c>
      <c r="C71" s="4" t="s">
        <v>28</v>
      </c>
      <c r="D71" t="s">
        <v>697</v>
      </c>
      <c r="E71">
        <v>1</v>
      </c>
    </row>
    <row r="72" spans="1:9" x14ac:dyDescent="0.35">
      <c r="A72">
        <v>30</v>
      </c>
      <c r="B72" t="s">
        <v>638</v>
      </c>
      <c r="C72" s="4" t="s">
        <v>28</v>
      </c>
      <c r="D72" t="s">
        <v>698</v>
      </c>
      <c r="E72">
        <v>1</v>
      </c>
    </row>
    <row r="76" spans="1:9" x14ac:dyDescent="0.35">
      <c r="C76" s="5" t="s">
        <v>7</v>
      </c>
      <c r="D76" s="6">
        <f>COUNTIF(E43:E72,1)</f>
        <v>10</v>
      </c>
      <c r="E76" s="6">
        <f>COUNTIF(E43:E62,1)</f>
        <v>6</v>
      </c>
    </row>
    <row r="77" spans="1:9" x14ac:dyDescent="0.35">
      <c r="C77" s="5" t="s">
        <v>8</v>
      </c>
      <c r="D77" s="6">
        <f>COUNTIF(E43:E72,1) + COUNTIF(G43:G72,1)</f>
        <v>17</v>
      </c>
      <c r="E77" s="6">
        <f>COUNTIF(E43:E62,1) + COUNTIF(G43:G62,1)</f>
        <v>12</v>
      </c>
    </row>
    <row r="78" spans="1:9" x14ac:dyDescent="0.35">
      <c r="C78" s="5" t="s">
        <v>10</v>
      </c>
      <c r="D78" s="6">
        <f>COUNTIF(F43:F72,1) + COUNTIF(H43:H72,1) + COUNTIF(I43:I72,1) + COUNTIF(J43:J72,1)</f>
        <v>13</v>
      </c>
      <c r="E78" s="6">
        <f>COUNTIF(F43:F62,1) + COUNTIF(H43:H62,1) + COUNTIF(I43:I62,1) + COUNTIF(J43:J62,1)</f>
        <v>8</v>
      </c>
    </row>
    <row r="79" spans="1:9" x14ac:dyDescent="0.35">
      <c r="C79" s="5" t="s">
        <v>9</v>
      </c>
      <c r="D79" s="6">
        <f>COUNTIF(F43:F72,1) + COUNTIF(H43:H72,1)</f>
        <v>0</v>
      </c>
      <c r="E79" s="6">
        <f>COUNTIF(F43:F62,1) + COUNTIF(H43:H62,1)</f>
        <v>0</v>
      </c>
    </row>
    <row r="80" spans="1:9" x14ac:dyDescent="0.35">
      <c r="C80" s="5" t="s">
        <v>209</v>
      </c>
      <c r="D80" s="6">
        <f>COUNTIF(F43:F72,1) + COUNTIF(E43:E72,1) + COUNTIF(G43:G72,1) + COUNTIF(H43:H72,1) + COUNTIF(I43:I72,1) + COUNTIF(J43:J72,1)</f>
        <v>30</v>
      </c>
      <c r="E80" s="6">
        <f>COUNTIF(E43:E62,1) + COUNTIF(F43:F62,1) + COUNTIF(G43:G62,1) + COUNTIF(H43:H62,1) + COUNTIF(K43:K62,1) + COUNTIF(J43:J62,1) + COUNTIF(I43:I62,1)</f>
        <v>20</v>
      </c>
    </row>
  </sheetData>
  <phoneticPr fontId="1" type="noConversion"/>
  <conditionalFormatting sqref="E3:E33">
    <cfRule type="cellIs" dxfId="7" priority="7" operator="between">
      <formula>1</formula>
      <formula>1</formula>
    </cfRule>
  </conditionalFormatting>
  <conditionalFormatting sqref="E43:E73">
    <cfRule type="cellIs" dxfId="6" priority="4" operator="between">
      <formula>1</formula>
      <formula>1</formula>
    </cfRule>
  </conditionalFormatting>
  <conditionalFormatting sqref="F3:F33">
    <cfRule type="cellIs" dxfId="5" priority="5" operator="between">
      <formula>1</formula>
      <formula>1</formula>
    </cfRule>
  </conditionalFormatting>
  <conditionalFormatting sqref="F43:F73">
    <cfRule type="cellIs" dxfId="4" priority="3" operator="between">
      <formula>1</formula>
      <formula>1</formula>
    </cfRule>
  </conditionalFormatting>
  <conditionalFormatting sqref="G3:G33">
    <cfRule type="cellIs" dxfId="3" priority="8" operator="between">
      <formula>1</formula>
      <formula>2</formula>
    </cfRule>
  </conditionalFormatting>
  <conditionalFormatting sqref="G43:G73">
    <cfRule type="cellIs" dxfId="2" priority="2" operator="between">
      <formula>1</formula>
      <formula>1</formula>
    </cfRule>
  </conditionalFormatting>
  <conditionalFormatting sqref="H3:J33">
    <cfRule type="cellIs" dxfId="1" priority="6" operator="between">
      <formula>1</formula>
      <formula>1</formula>
    </cfRule>
  </conditionalFormatting>
  <conditionalFormatting sqref="H43:J73">
    <cfRule type="cellIs" dxfId="0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22</vt:i4>
      </vt:variant>
    </vt:vector>
  </HeadingPairs>
  <TitlesOfParts>
    <vt:vector size="22" baseType="lpstr">
      <vt:lpstr>READ.ME</vt:lpstr>
      <vt:lpstr>CombinedData</vt:lpstr>
      <vt:lpstr>RawData_Rat1</vt:lpstr>
      <vt:lpstr>RawData_Rat2</vt:lpstr>
      <vt:lpstr>RawData_Rat3</vt:lpstr>
      <vt:lpstr>RawData_Rat4</vt:lpstr>
      <vt:lpstr>RawData_Rat5</vt:lpstr>
      <vt:lpstr>RawData_Rat6</vt:lpstr>
      <vt:lpstr>RawData_Rat7</vt:lpstr>
      <vt:lpstr>RawData_Rat8</vt:lpstr>
      <vt:lpstr>RawData_Rat9</vt:lpstr>
      <vt:lpstr>RawData_Rat10</vt:lpstr>
      <vt:lpstr>RawData_Rat11</vt:lpstr>
      <vt:lpstr>RawData_Rat12</vt:lpstr>
      <vt:lpstr>RawData_Rat13</vt:lpstr>
      <vt:lpstr>RawData_Rat14</vt:lpstr>
      <vt:lpstr>RawData_Rat15</vt:lpstr>
      <vt:lpstr>RawData_Rat16</vt:lpstr>
      <vt:lpstr>RawData_Rat17</vt:lpstr>
      <vt:lpstr>RawData_Rat18</vt:lpstr>
      <vt:lpstr>RawData_Rat19</vt:lpstr>
      <vt:lpstr>RawData_Rat20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Bakker</dc:creator>
  <cp:keywords/>
  <dc:description/>
  <cp:lastModifiedBy>Anne Bakker</cp:lastModifiedBy>
  <cp:revision/>
  <dcterms:created xsi:type="dcterms:W3CDTF">2025-05-15T09:28:32Z</dcterms:created>
  <dcterms:modified xsi:type="dcterms:W3CDTF">2025-10-06T12:15:46Z</dcterms:modified>
  <cp:category/>
  <cp:contentStatus/>
</cp:coreProperties>
</file>